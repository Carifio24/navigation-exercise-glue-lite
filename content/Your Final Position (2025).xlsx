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</sheets>
  <definedNames/>
  <calcPr/>
</workbook>
</file>

<file path=xl/sharedStrings.xml><?xml version="1.0" encoding="utf-8"?>
<sst xmlns="http://schemas.openxmlformats.org/spreadsheetml/2006/main" count="263" uniqueCount="188">
  <si>
    <t>Timestamp</t>
  </si>
  <si>
    <t>Email Address</t>
  </si>
  <si>
    <t>What color group were you in?</t>
  </si>
  <si>
    <t>What number group, associated with your color, were you in? e.g.  choose "2" for "blue-2"</t>
  </si>
  <si>
    <t>Your FIRST Name</t>
  </si>
  <si>
    <t>Your LAST Name</t>
  </si>
  <si>
    <t>End Point Latitude  (in decimal degrees, using at least 7 decimal places)</t>
  </si>
  <si>
    <t>End Point Longitude (in decimal degrees, using at least 7 decimal places, with sign)</t>
  </si>
  <si>
    <t>How far off do you think your final position might be?  Enter a number in FEET.  (Do not use words, please just a number.)</t>
  </si>
  <si>
    <t>Which role did you play?</t>
  </si>
  <si>
    <t>Upload the photo you took of the "nearest building"</t>
  </si>
  <si>
    <t>Point A Latitude  (in decimal degrees, using at least 7 decimal places)</t>
  </si>
  <si>
    <t>Point A Longitude (in decimal degrees, using at least 7 decimal places, with sign)</t>
  </si>
  <si>
    <t>Point B Latitude  (in decimal degrees, using at least 7 decimal places)</t>
  </si>
  <si>
    <t>Point B Longitude (in decimal degrees, using at least 7 decimal places, with sign)</t>
  </si>
  <si>
    <t>End_Lat_true</t>
  </si>
  <si>
    <t>End_Long_true</t>
  </si>
  <si>
    <t>End_lat_off</t>
  </si>
  <si>
    <t>End_lat_off_feet</t>
  </si>
  <si>
    <t>End_long_off</t>
  </si>
  <si>
    <t>End_long_off_feet</t>
  </si>
  <si>
    <t>End_off_feet</t>
  </si>
  <si>
    <t>Uncertainty_difference</t>
  </si>
  <si>
    <t>kjia@college.harvard.edu</t>
  </si>
  <si>
    <t>yellow</t>
  </si>
  <si>
    <t>Kathy</t>
  </si>
  <si>
    <t>Jia</t>
  </si>
  <si>
    <t>Team Member</t>
  </si>
  <si>
    <t>https://drive.google.com/open?id=1fMY4u43MkGecEcGdosUXbr3EVX2TDmWL</t>
  </si>
  <si>
    <t>ssi@college.harvard.edu</t>
  </si>
  <si>
    <t>Sophia</t>
  </si>
  <si>
    <t>Si</t>
  </si>
  <si>
    <t>Captain</t>
  </si>
  <si>
    <t>https://drive.google.com/open?id=1fKFFbmdf9lpjWy-XYLhw7Izl5UWh9fJ1</t>
  </si>
  <si>
    <t>devmadhavani@college.harvard.edu</t>
  </si>
  <si>
    <t>blue</t>
  </si>
  <si>
    <t>Dev</t>
  </si>
  <si>
    <t>Madhavani</t>
  </si>
  <si>
    <t>https://drive.google.com/open?id=1tpkX4UU2impyy-Duygqol9U1tHh0cxkU</t>
  </si>
  <si>
    <t>saranyasingh@college.harvard.edu</t>
  </si>
  <si>
    <t>pink</t>
  </si>
  <si>
    <t>Saranya</t>
  </si>
  <si>
    <t>Singh</t>
  </si>
  <si>
    <t>https://drive.google.com/open?id=1H6yfANvhhFdpknSk_ogJT4w5kdhk9GqE</t>
  </si>
  <si>
    <t>aurquhart@college.harvard.edu</t>
  </si>
  <si>
    <t>Amari</t>
  </si>
  <si>
    <t>Urquhart</t>
  </si>
  <si>
    <t>https://drive.google.com/open?id=11B8M95StZlZU9Woqi-vvHXoKQFvEO9zm</t>
  </si>
  <si>
    <t>acwu@college.harvard.edu</t>
  </si>
  <si>
    <t>Alexander</t>
  </si>
  <si>
    <t>Wu</t>
  </si>
  <si>
    <t>https://drive.google.com/open?id=1ER_2EOv2kyAyhmQMBUNmrC9PvXFiCtsV</t>
  </si>
  <si>
    <t>nicholaskalkanis@college.harvard.edu</t>
  </si>
  <si>
    <t>green</t>
  </si>
  <si>
    <t>Nicholas</t>
  </si>
  <si>
    <t>Kalkanis</t>
  </si>
  <si>
    <t>https://drive.google.com/open?id=1FyQ8GrYa1ix2nn29WWLhxaZbQdRb7FpS</t>
  </si>
  <si>
    <t>joliveirasilva@college.harvard.edu</t>
  </si>
  <si>
    <t>João Lucas</t>
  </si>
  <si>
    <t>Oliveira Silva</t>
  </si>
  <si>
    <t>Navigator</t>
  </si>
  <si>
    <t>https://drive.google.com/open?id=1UkpK1-c5Rfr3mOoBEaVkY3vUVxVVtV0K</t>
  </si>
  <si>
    <t>kshah@college.harvard.edu</t>
  </si>
  <si>
    <t>orange</t>
  </si>
  <si>
    <t>Karan</t>
  </si>
  <si>
    <t>Shah</t>
  </si>
  <si>
    <t>https://drive.google.com/open?id=1lpHPUDlcU7dp1ClR1oIB5F9T7VrAGFir</t>
  </si>
  <si>
    <t>otrefanenko@college.harvard.edu</t>
  </si>
  <si>
    <t>Oksana</t>
  </si>
  <si>
    <t>Trefanenko</t>
  </si>
  <si>
    <t>https://drive.google.com/open?id=1JIuaGFf3pu24uGYq_Z_nI73SvM6iED7M</t>
  </si>
  <si>
    <t>styvesbarrosmiranda@college.harvard.edu</t>
  </si>
  <si>
    <t>Styves</t>
  </si>
  <si>
    <t>Barros Miranda</t>
  </si>
  <si>
    <t>https://drive.google.com/open?id=1IW00l40nxG2QspunVzQKA3aOXcFVTl7u</t>
  </si>
  <si>
    <t>mtracy@college.harvard.edu</t>
  </si>
  <si>
    <t>Maria</t>
  </si>
  <si>
    <t>Tracy</t>
  </si>
  <si>
    <t>https://drive.google.com/open?id=1WkZg6_MkoqT-AB-eIBj1F3eyDGFTPUMR</t>
  </si>
  <si>
    <t>carterdaly@college.harvard.edu</t>
  </si>
  <si>
    <t>Carter</t>
  </si>
  <si>
    <t>Daly</t>
  </si>
  <si>
    <t>https://drive.google.com/open?id=1vM4ZCCb0I4wI0bzZvt76-6ds7b09FuFL</t>
  </si>
  <si>
    <t>amaladam@college.harvard.edu</t>
  </si>
  <si>
    <t xml:space="preserve">Amal </t>
  </si>
  <si>
    <t>Adam</t>
  </si>
  <si>
    <t>https://drive.google.com/open?id=1z5sGVLMbFUwLI6r3Rz7BTD5wUMFKKl6D</t>
  </si>
  <si>
    <t>akshaymanchanda@college.harvard.edu</t>
  </si>
  <si>
    <t>akshay</t>
  </si>
  <si>
    <t>manchanda</t>
  </si>
  <si>
    <t>https://drive.google.com/open?id=1Bi9qjcELMd9H9CWdweEQM0KpFBg4FBu5</t>
  </si>
  <si>
    <t>dominicsheeks@college.harvard.edu</t>
  </si>
  <si>
    <t>Dominic</t>
  </si>
  <si>
    <t>Sheeks</t>
  </si>
  <si>
    <t>https://drive.google.com/open?id=1ai-NzIy7Dja1LINIWGEk7D0uY2uoxr_6</t>
  </si>
  <si>
    <t>alevis@college.harvard.edu</t>
  </si>
  <si>
    <t>amber</t>
  </si>
  <si>
    <t>levis</t>
  </si>
  <si>
    <t>https://drive.google.com/open?id=10iNM7JP5W8w2afLdcpSAMWV0l-YlDKNK</t>
  </si>
  <si>
    <t>nvillanuevahernandez@college.harvard.edu</t>
  </si>
  <si>
    <t>Natalia</t>
  </si>
  <si>
    <t>Villanueva-Hernandez</t>
  </si>
  <si>
    <t>https://drive.google.com/open?id=1Dn6efq_SqsPUnWScpIWXz8FXWtSEQX_a</t>
  </si>
  <si>
    <t>shunt@college.harvard.edu</t>
  </si>
  <si>
    <t>Seager</t>
  </si>
  <si>
    <t>Hunt</t>
  </si>
  <si>
    <t>https://drive.google.com/open?id=1uEqFs5Ek2dRzxvSGqMIkLqXeF_UoyOdM</t>
  </si>
  <si>
    <t>Amal</t>
  </si>
  <si>
    <t>https://drive.google.com/open?id=1OmFNxC5BVtpfBbXIshBcQp0kxPCd4zk4</t>
  </si>
  <si>
    <t>meenabehringer@college.harvard.edu</t>
  </si>
  <si>
    <t>Meena</t>
  </si>
  <si>
    <t>Behringer</t>
  </si>
  <si>
    <t>https://drive.google.com/open?id=1gUY1wMkAp8XizIZEQPcEpIERDVL3uTwU</t>
  </si>
  <si>
    <t>tirthdave@college.harvard.edu</t>
  </si>
  <si>
    <t>Tirth</t>
  </si>
  <si>
    <t>Dave</t>
  </si>
  <si>
    <t>https://drive.google.com/open?id=12teMupqoT0KOWoqgjzcTvrXvpwXQSE0H</t>
  </si>
  <si>
    <t>cameronamianda@college.harvard.edu</t>
  </si>
  <si>
    <t>Cameron</t>
  </si>
  <si>
    <t xml:space="preserve">Amianda </t>
  </si>
  <si>
    <t>https://drive.google.com/open?id=1sSU8s0WIDRAfRTfzgiWjDaxr5MmfYJ-b</t>
  </si>
  <si>
    <t>primolagasogoldberg@college.harvard.edu</t>
  </si>
  <si>
    <t>primo</t>
  </si>
  <si>
    <t>lagaso goldberg</t>
  </si>
  <si>
    <t>https://drive.google.com/open?id=1KvHokI5XA_M-hLZ5HqWyrXgtIOr6PZf_</t>
  </si>
  <si>
    <t>mhung@college.harvard.edu</t>
  </si>
  <si>
    <t>Mattie</t>
  </si>
  <si>
    <t>Hung</t>
  </si>
  <si>
    <t>https://drive.google.com/open?id=1OPVUMf_tNWtOo8ryzVPfYUv_nGUEBygs</t>
  </si>
  <si>
    <t>mariashytaj@college.harvard.edu</t>
  </si>
  <si>
    <t>Shytaj</t>
  </si>
  <si>
    <t>https://drive.google.com/open?id=1zLt2CyyhdF5aAc8yJau6E05RjeNGadgE</t>
  </si>
  <si>
    <t>madisonmcwilliams@college.harvard.edu</t>
  </si>
  <si>
    <t xml:space="preserve">Madison </t>
  </si>
  <si>
    <t xml:space="preserve">McWilliams </t>
  </si>
  <si>
    <t>https://drive.google.com/open?id=1GcKf5_j-O8fx5zYQIuOOhKccYBko49TL</t>
  </si>
  <si>
    <t>akarim@college.harvard.edu</t>
  </si>
  <si>
    <t>Arbaaz</t>
  </si>
  <si>
    <t>Karim</t>
  </si>
  <si>
    <t>https://drive.google.com/open?id=1Cpgu3pT2NEmMIgz_pk09XdAqKp9JORL5</t>
  </si>
  <si>
    <t>isaacmansell@college.harvard.edu</t>
  </si>
  <si>
    <t>ISAAC</t>
  </si>
  <si>
    <t>MANSELL</t>
  </si>
  <si>
    <t>https://drive.google.com/open?id=15_BYw0ONDYtq4qjQzmpylnKF7rhyQ6qZ</t>
  </si>
  <si>
    <t>Jackyhuang@college.harvard.edu</t>
  </si>
  <si>
    <t>Jacky</t>
  </si>
  <si>
    <t>Huang</t>
  </si>
  <si>
    <t>https://drive.google.com/open?id=1H2yRxmhUY7i3rW7fIC0wBgEh1JxMbZ7A</t>
  </si>
  <si>
    <t>apena@college.harvard.edu</t>
  </si>
  <si>
    <t>Angelina</t>
  </si>
  <si>
    <t>Pena</t>
  </si>
  <si>
    <t>https://drive.google.com/open?id=1OtqCfNY5FPydPNHtC_pu0wc79-ggy7G-</t>
  </si>
  <si>
    <t>sophia_raines@college.harvard.edu</t>
  </si>
  <si>
    <t xml:space="preserve">Sophia </t>
  </si>
  <si>
    <t>Raines</t>
  </si>
  <si>
    <t>https://drive.google.com/open?id=1bbh0yF68TWqilLajDk8CfBswO_DwD75i</t>
  </si>
  <si>
    <t>omarelshamy@college.harvard.edu</t>
  </si>
  <si>
    <t>Omar</t>
  </si>
  <si>
    <t>Elshamy</t>
  </si>
  <si>
    <t>https://drive.google.com/open?id=11qPhunylCIVsIeY5zIs20Pj9PQnipQZY</t>
  </si>
  <si>
    <t>jakobfrates@college.harvard.edu</t>
  </si>
  <si>
    <t>Jakob</t>
  </si>
  <si>
    <t>Frates</t>
  </si>
  <si>
    <t>https://drive.google.com/open?id=1o9RFx6uYxbT5KUULjZ_E9XRnxPC4WUUm</t>
  </si>
  <si>
    <t>jherwitz@college.harvard.edu</t>
  </si>
  <si>
    <t>Jude</t>
  </si>
  <si>
    <t>Herwitz</t>
  </si>
  <si>
    <t>https://drive.google.com/open?id=1Bi5PJVxxQpMtOam3wODA77GmvAjACjL3</t>
  </si>
  <si>
    <t>patricksmyth@college.harvard.edu</t>
  </si>
  <si>
    <t>Patrick</t>
  </si>
  <si>
    <t>Smyth</t>
  </si>
  <si>
    <t>https://drive.google.com/open?id=1oZaDRGMMrRP04kk-np1bImrkY038_LKu</t>
  </si>
  <si>
    <t>justinbelle@college.harvard.edu</t>
  </si>
  <si>
    <t>Justin</t>
  </si>
  <si>
    <t>Belle</t>
  </si>
  <si>
    <t>https://drive.google.com/open?id=1DVLS2gRSvXmxL5XYlBxMPVYPKb2ja6M7</t>
  </si>
  <si>
    <t>fmaccagno@college.harvard.edu</t>
  </si>
  <si>
    <t>Federico</t>
  </si>
  <si>
    <t>Maccagno</t>
  </si>
  <si>
    <t>https://drive.google.com/open?id=1AENz8SeTrMzJ2B6PsCdNnhHZMBWGLGTy</t>
  </si>
  <si>
    <t>maxfieldbowman@college.harvard.edu</t>
  </si>
  <si>
    <t>Max</t>
  </si>
  <si>
    <t>Bowman</t>
  </si>
  <si>
    <t>https://drive.google.com/open?id=16q10Us67pf96LNmh5b8tUy7c0P5Vy-e_</t>
  </si>
  <si>
    <t>mustaphasadiq@college.harvard.edu</t>
  </si>
  <si>
    <t>Mustapha</t>
  </si>
  <si>
    <t>Sadiq</t>
  </si>
  <si>
    <t>https://drive.google.com/open?id=1bi-pNngKHNOv23H7sSRThVp033LyWqlX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</si>
</sst>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0"/>
    <numFmt numFmtId="165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Calibri"/>
    </font>
    <font>
      <u/>
      <color rgb="FF0000FF"/>
      <name val="Roboto"/>
    </font>
    <font>
      <sz val="10.0"/>
      <color theme="1"/>
      <name val="Calibri"/>
    </font>
    <font>
      <sz val="9.0"/>
      <color rgb="FF000000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center" readingOrder="0"/>
    </xf>
    <xf borderId="0" fillId="0" fontId="2" numFmtId="1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2" fontId="5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41" displayName="Form_Responses1" name="Form_Responses1" id="1">
  <tableColumns count="15">
    <tableColumn name="Timestamp" id="1"/>
    <tableColumn name="Email Address" id="2"/>
    <tableColumn name="What color group were you in?" id="3"/>
    <tableColumn name="What number group, associated with your color, were you in? e.g.  choose &quot;2&quot; for &quot;blue-2&quot;" id="4"/>
    <tableColumn name="Your FIRST Name" id="5"/>
    <tableColumn name="Your LAST Name" id="6"/>
    <tableColumn name="End Point Latitude  (in decimal degrees, using at least 7 decimal places)" id="7"/>
    <tableColumn name="End Point Longitude (in decimal degrees, using at least 7 decimal places, with sign)" id="8"/>
    <tableColumn name="How far off do you think your final position might be?  Enter a number in FEET.  (Do not use words, please just a number.)" id="9"/>
    <tableColumn name="Which role did you play?" id="10"/>
    <tableColumn name="Upload the photo you took of the &quot;nearest building&quot;" id="11"/>
    <tableColumn name="Point A Latitude  (in decimal degrees, using at least 7 decimal places)" id="12"/>
    <tableColumn name="Point A Longitude (in decimal degrees, using at least 7 decimal places, with sign)" id="13"/>
    <tableColumn name="Point B Latitude  (in decimal degrees, using at least 7 decimal places)" id="14"/>
    <tableColumn name="Point B Longitude (in decimal degrees, using at least 7 decimal places, with sign)" id="15"/>
  </tableColumns>
  <tableStyleInfo name="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bi-pNngKHNOv23H7sSRThVp033LyWqlX" TargetMode="External"/><Relationship Id="rId20" Type="http://schemas.openxmlformats.org/officeDocument/2006/relationships/hyperlink" Target="https://drive.google.com/open?id=1OmFNxC5BVtpfBbXIshBcQp0kxPCd4zk4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drive.google.com/open?id=12teMupqoT0KOWoqgjzcTvrXvpwXQSE0H" TargetMode="External"/><Relationship Id="rId21" Type="http://schemas.openxmlformats.org/officeDocument/2006/relationships/hyperlink" Target="https://drive.google.com/open?id=1gUY1wMkAp8XizIZEQPcEpIERDVL3uTwU" TargetMode="External"/><Relationship Id="rId43" Type="http://schemas.openxmlformats.org/officeDocument/2006/relationships/table" Target="../tables/table1.xml"/><Relationship Id="rId24" Type="http://schemas.openxmlformats.org/officeDocument/2006/relationships/hyperlink" Target="https://drive.google.com/open?id=1KvHokI5XA_M-hLZ5HqWyrXgtIOr6PZf_" TargetMode="External"/><Relationship Id="rId23" Type="http://schemas.openxmlformats.org/officeDocument/2006/relationships/hyperlink" Target="https://drive.google.com/open?id=1sSU8s0WIDRAfRTfzgiWjDaxr5MmfYJ-b" TargetMode="External"/><Relationship Id="rId1" Type="http://schemas.openxmlformats.org/officeDocument/2006/relationships/hyperlink" Target="https://drive.google.com/open?id=1fMY4u43MkGecEcGdosUXbr3EVX2TDmWL" TargetMode="External"/><Relationship Id="rId2" Type="http://schemas.openxmlformats.org/officeDocument/2006/relationships/hyperlink" Target="https://drive.google.com/open?id=1fKFFbmdf9lpjWy-XYLhw7Izl5UWh9fJ1" TargetMode="External"/><Relationship Id="rId3" Type="http://schemas.openxmlformats.org/officeDocument/2006/relationships/hyperlink" Target="https://drive.google.com/open?id=1tpkX4UU2impyy-Duygqol9U1tHh0cxkU" TargetMode="External"/><Relationship Id="rId4" Type="http://schemas.openxmlformats.org/officeDocument/2006/relationships/hyperlink" Target="https://drive.google.com/open?id=1H6yfANvhhFdpknSk_ogJT4w5kdhk9GqE" TargetMode="External"/><Relationship Id="rId9" Type="http://schemas.openxmlformats.org/officeDocument/2006/relationships/hyperlink" Target="https://drive.google.com/open?id=1lpHPUDlcU7dp1ClR1oIB5F9T7VrAGFir" TargetMode="External"/><Relationship Id="rId26" Type="http://schemas.openxmlformats.org/officeDocument/2006/relationships/hyperlink" Target="https://drive.google.com/open?id=1zLt2CyyhdF5aAc8yJau6E05RjeNGadgE" TargetMode="External"/><Relationship Id="rId25" Type="http://schemas.openxmlformats.org/officeDocument/2006/relationships/hyperlink" Target="https://drive.google.com/open?id=1OPVUMf_tNWtOo8ryzVPfYUv_nGUEBygs" TargetMode="External"/><Relationship Id="rId28" Type="http://schemas.openxmlformats.org/officeDocument/2006/relationships/hyperlink" Target="https://drive.google.com/open?id=1Cpgu3pT2NEmMIgz_pk09XdAqKp9JORL5" TargetMode="External"/><Relationship Id="rId27" Type="http://schemas.openxmlformats.org/officeDocument/2006/relationships/hyperlink" Target="https://drive.google.com/open?id=1GcKf5_j-O8fx5zYQIuOOhKccYBko49TL" TargetMode="External"/><Relationship Id="rId5" Type="http://schemas.openxmlformats.org/officeDocument/2006/relationships/hyperlink" Target="https://drive.google.com/open?id=11B8M95StZlZU9Woqi-vvHXoKQFvEO9zm" TargetMode="External"/><Relationship Id="rId6" Type="http://schemas.openxmlformats.org/officeDocument/2006/relationships/hyperlink" Target="https://drive.google.com/open?id=1ER_2EOv2kyAyhmQMBUNmrC9PvXFiCtsV" TargetMode="External"/><Relationship Id="rId29" Type="http://schemas.openxmlformats.org/officeDocument/2006/relationships/hyperlink" Target="https://drive.google.com/open?id=15_BYw0ONDYtq4qjQzmpylnKF7rhyQ6qZ" TargetMode="External"/><Relationship Id="rId7" Type="http://schemas.openxmlformats.org/officeDocument/2006/relationships/hyperlink" Target="https://drive.google.com/open?id=1FyQ8GrYa1ix2nn29WWLhxaZbQdRb7FpS" TargetMode="External"/><Relationship Id="rId8" Type="http://schemas.openxmlformats.org/officeDocument/2006/relationships/hyperlink" Target="https://drive.google.com/open?id=1UkpK1-c5Rfr3mOoBEaVkY3vUVxVVtV0K" TargetMode="External"/><Relationship Id="rId31" Type="http://schemas.openxmlformats.org/officeDocument/2006/relationships/hyperlink" Target="https://drive.google.com/open?id=1OtqCfNY5FPydPNHtC_pu0wc79-ggy7G-" TargetMode="External"/><Relationship Id="rId30" Type="http://schemas.openxmlformats.org/officeDocument/2006/relationships/hyperlink" Target="https://drive.google.com/open?id=1H2yRxmhUY7i3rW7fIC0wBgEh1JxMbZ7A" TargetMode="External"/><Relationship Id="rId11" Type="http://schemas.openxmlformats.org/officeDocument/2006/relationships/hyperlink" Target="https://drive.google.com/open?id=1IW00l40nxG2QspunVzQKA3aOXcFVTl7u" TargetMode="External"/><Relationship Id="rId33" Type="http://schemas.openxmlformats.org/officeDocument/2006/relationships/hyperlink" Target="https://drive.google.com/open?id=11qPhunylCIVsIeY5zIs20Pj9PQnipQZY" TargetMode="External"/><Relationship Id="rId10" Type="http://schemas.openxmlformats.org/officeDocument/2006/relationships/hyperlink" Target="https://drive.google.com/open?id=1JIuaGFf3pu24uGYq_Z_nI73SvM6iED7M" TargetMode="External"/><Relationship Id="rId32" Type="http://schemas.openxmlformats.org/officeDocument/2006/relationships/hyperlink" Target="https://drive.google.com/open?id=1bbh0yF68TWqilLajDk8CfBswO_DwD75i" TargetMode="External"/><Relationship Id="rId13" Type="http://schemas.openxmlformats.org/officeDocument/2006/relationships/hyperlink" Target="https://drive.google.com/open?id=1vM4ZCCb0I4wI0bzZvt76-6ds7b09FuFL" TargetMode="External"/><Relationship Id="rId35" Type="http://schemas.openxmlformats.org/officeDocument/2006/relationships/hyperlink" Target="https://drive.google.com/open?id=1Bi5PJVxxQpMtOam3wODA77GmvAjACjL3" TargetMode="External"/><Relationship Id="rId12" Type="http://schemas.openxmlformats.org/officeDocument/2006/relationships/hyperlink" Target="https://drive.google.com/open?id=1WkZg6_MkoqT-AB-eIBj1F3eyDGFTPUMR" TargetMode="External"/><Relationship Id="rId34" Type="http://schemas.openxmlformats.org/officeDocument/2006/relationships/hyperlink" Target="https://drive.google.com/open?id=1o9RFx6uYxbT5KUULjZ_E9XRnxPC4WUUm" TargetMode="External"/><Relationship Id="rId15" Type="http://schemas.openxmlformats.org/officeDocument/2006/relationships/hyperlink" Target="https://drive.google.com/open?id=1Bi9qjcELMd9H9CWdweEQM0KpFBg4FBu5" TargetMode="External"/><Relationship Id="rId37" Type="http://schemas.openxmlformats.org/officeDocument/2006/relationships/hyperlink" Target="https://drive.google.com/open?id=1DVLS2gRSvXmxL5XYlBxMPVYPKb2ja6M7" TargetMode="External"/><Relationship Id="rId14" Type="http://schemas.openxmlformats.org/officeDocument/2006/relationships/hyperlink" Target="https://drive.google.com/open?id=1z5sGVLMbFUwLI6r3Rz7BTD5wUMFKKl6D" TargetMode="External"/><Relationship Id="rId36" Type="http://schemas.openxmlformats.org/officeDocument/2006/relationships/hyperlink" Target="https://drive.google.com/open?id=1oZaDRGMMrRP04kk-np1bImrkY038_LKu" TargetMode="External"/><Relationship Id="rId17" Type="http://schemas.openxmlformats.org/officeDocument/2006/relationships/hyperlink" Target="https://drive.google.com/open?id=10iNM7JP5W8w2afLdcpSAMWV0l-YlDKNK" TargetMode="External"/><Relationship Id="rId39" Type="http://schemas.openxmlformats.org/officeDocument/2006/relationships/hyperlink" Target="https://drive.google.com/open?id=16q10Us67pf96LNmh5b8tUy7c0P5Vy-e_" TargetMode="External"/><Relationship Id="rId16" Type="http://schemas.openxmlformats.org/officeDocument/2006/relationships/hyperlink" Target="https://drive.google.com/open?id=1ai-NzIy7Dja1LINIWGEk7D0uY2uoxr_6" TargetMode="External"/><Relationship Id="rId38" Type="http://schemas.openxmlformats.org/officeDocument/2006/relationships/hyperlink" Target="https://drive.google.com/open?id=1AENz8SeTrMzJ2B6PsCdNnhHZMBWGLGTy" TargetMode="External"/><Relationship Id="rId19" Type="http://schemas.openxmlformats.org/officeDocument/2006/relationships/hyperlink" Target="https://drive.google.com/open?id=1uEqFs5Ek2dRzxvSGqMIkLqXeF_UoyOdM" TargetMode="External"/><Relationship Id="rId18" Type="http://schemas.openxmlformats.org/officeDocument/2006/relationships/hyperlink" Target="https://drive.google.com/open?id=1Dn6efq_SqsPUnWScpIWXz8FXWtSEQX_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18.88"/>
    <col customWidth="1" hidden="1" min="2" max="2" width="22.88"/>
    <col customWidth="1" min="3" max="3" width="9.13"/>
    <col customWidth="1" min="4" max="4" width="3.75"/>
    <col customWidth="1" min="5" max="6" width="18.88"/>
    <col customWidth="1" min="7" max="7" width="17.75"/>
    <col customWidth="1" min="8" max="8" width="20.25"/>
    <col customWidth="1" min="9" max="9" width="11.0"/>
    <col customWidth="1" min="10" max="10" width="22.75"/>
    <col customWidth="1" hidden="1" min="11" max="11" width="14.25"/>
    <col customWidth="1" min="12" max="12" width="15.88"/>
    <col customWidth="1" min="13" max="13" width="14.38"/>
    <col customWidth="1" min="14" max="14" width="13.63"/>
    <col customWidth="1" min="15" max="15" width="13.13"/>
    <col customWidth="1" min="16" max="23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 t="s">
        <v>19</v>
      </c>
      <c r="U1" s="4" t="s">
        <v>20</v>
      </c>
      <c r="V1" s="6" t="s">
        <v>21</v>
      </c>
      <c r="W1" s="6" t="s">
        <v>22</v>
      </c>
    </row>
    <row r="2" ht="22.5" customHeight="1">
      <c r="A2" s="7">
        <v>45721.66872594907</v>
      </c>
      <c r="B2" s="8" t="s">
        <v>23</v>
      </c>
      <c r="C2" s="8" t="s">
        <v>24</v>
      </c>
      <c r="D2" s="8">
        <v>1.0</v>
      </c>
      <c r="E2" s="8" t="s">
        <v>25</v>
      </c>
      <c r="F2" s="8" t="s">
        <v>26</v>
      </c>
      <c r="G2" s="8">
        <v>42.3742488</v>
      </c>
      <c r="H2" s="8">
        <v>-71.1182595</v>
      </c>
      <c r="I2" s="8">
        <v>100.0</v>
      </c>
      <c r="J2" s="8" t="s">
        <v>27</v>
      </c>
      <c r="K2" s="9" t="s">
        <v>28</v>
      </c>
      <c r="P2" s="10">
        <v>42.37411895</v>
      </c>
      <c r="Q2" s="10">
        <v>-71.1176378</v>
      </c>
      <c r="R2" s="11">
        <f t="shared" ref="R2:R40" si="1">G2-P2</f>
        <v>0.00012985</v>
      </c>
      <c r="S2" s="12">
        <f t="shared" ref="S2:S40" si="2">R2* 24901*5280/360</f>
        <v>47.42312446</v>
      </c>
      <c r="T2" s="11">
        <f t="shared" ref="T2:T40" si="3">H2-Q2</f>
        <v>-0.0006217</v>
      </c>
      <c r="U2" s="12">
        <f t="shared" ref="U2:U40" si="4">T2*24901*5280/360*COS(Q2*3.14159/180)</f>
        <v>-73.48082635</v>
      </c>
      <c r="V2" s="13">
        <f t="shared" ref="V2:V40" si="5">SQRT(S2^2+U2^2)</f>
        <v>87.45504316</v>
      </c>
      <c r="W2" s="13">
        <f t="shared" ref="W2:W41" si="6">I2-V2</f>
        <v>12.54495684</v>
      </c>
    </row>
    <row r="3" ht="22.5" customHeight="1">
      <c r="A3" s="7">
        <v>45721.670965219906</v>
      </c>
      <c r="B3" s="8" t="s">
        <v>29</v>
      </c>
      <c r="C3" s="8" t="s">
        <v>24</v>
      </c>
      <c r="D3" s="8">
        <v>1.0</v>
      </c>
      <c r="E3" s="8" t="s">
        <v>30</v>
      </c>
      <c r="F3" s="8" t="s">
        <v>31</v>
      </c>
      <c r="G3" s="8">
        <v>42.3740533</v>
      </c>
      <c r="H3" s="8">
        <v>-71.1181451</v>
      </c>
      <c r="I3" s="8">
        <v>5.0</v>
      </c>
      <c r="J3" s="8" t="s">
        <v>32</v>
      </c>
      <c r="K3" s="9" t="s">
        <v>33</v>
      </c>
      <c r="P3" s="10">
        <v>42.37411895</v>
      </c>
      <c r="Q3" s="10">
        <v>-71.1176378</v>
      </c>
      <c r="R3" s="11">
        <f t="shared" si="1"/>
        <v>-0.00006565</v>
      </c>
      <c r="S3" s="12">
        <f t="shared" si="2"/>
        <v>-23.97634287</v>
      </c>
      <c r="T3" s="11">
        <f t="shared" si="3"/>
        <v>-0.0005073</v>
      </c>
      <c r="U3" s="12">
        <f t="shared" si="4"/>
        <v>-59.95950331</v>
      </c>
      <c r="V3" s="13">
        <f t="shared" si="5"/>
        <v>64.57559179</v>
      </c>
      <c r="W3" s="13">
        <f t="shared" si="6"/>
        <v>-59.57559179</v>
      </c>
    </row>
    <row r="4" ht="22.5" customHeight="1">
      <c r="A4" s="7">
        <v>45721.67459197917</v>
      </c>
      <c r="B4" s="8" t="s">
        <v>34</v>
      </c>
      <c r="C4" s="8" t="s">
        <v>35</v>
      </c>
      <c r="D4" s="8">
        <v>1.0</v>
      </c>
      <c r="E4" s="8" t="s">
        <v>36</v>
      </c>
      <c r="F4" s="8" t="s">
        <v>37</v>
      </c>
      <c r="G4" s="8">
        <v>42.3740945</v>
      </c>
      <c r="H4" s="8">
        <v>-71.1177005</v>
      </c>
      <c r="I4" s="8">
        <v>28.0</v>
      </c>
      <c r="J4" s="8" t="s">
        <v>27</v>
      </c>
      <c r="K4" s="9" t="s">
        <v>38</v>
      </c>
      <c r="P4" s="10">
        <v>42.37411895</v>
      </c>
      <c r="Q4" s="10">
        <v>-71.1176378</v>
      </c>
      <c r="R4" s="11">
        <f t="shared" si="1"/>
        <v>-0.00002445000001</v>
      </c>
      <c r="S4" s="12">
        <f t="shared" si="2"/>
        <v>-8.929498602</v>
      </c>
      <c r="T4" s="11">
        <f t="shared" si="3"/>
        <v>-0.0000627</v>
      </c>
      <c r="U4" s="12">
        <f t="shared" si="4"/>
        <v>-7.410725128</v>
      </c>
      <c r="V4" s="13">
        <f t="shared" si="5"/>
        <v>11.60408515</v>
      </c>
      <c r="W4" s="13">
        <f t="shared" si="6"/>
        <v>16.39591485</v>
      </c>
    </row>
    <row r="5" ht="22.5" customHeight="1">
      <c r="A5" s="7">
        <v>45721.676153125</v>
      </c>
      <c r="B5" s="8" t="s">
        <v>39</v>
      </c>
      <c r="C5" s="8" t="s">
        <v>40</v>
      </c>
      <c r="D5" s="8">
        <v>1.0</v>
      </c>
      <c r="E5" s="8" t="s">
        <v>41</v>
      </c>
      <c r="F5" s="8" t="s">
        <v>42</v>
      </c>
      <c r="G5" s="8">
        <v>42.3737517</v>
      </c>
      <c r="H5" s="8">
        <v>-71.1175469</v>
      </c>
      <c r="I5" s="8">
        <v>200.0</v>
      </c>
      <c r="J5" s="8" t="s">
        <v>27</v>
      </c>
      <c r="K5" s="9" t="s">
        <v>43</v>
      </c>
      <c r="P5" s="10">
        <v>42.37411895</v>
      </c>
      <c r="Q5" s="10">
        <v>-71.1176378</v>
      </c>
      <c r="R5" s="11">
        <f t="shared" si="1"/>
        <v>-0.00036725</v>
      </c>
      <c r="S5" s="12">
        <f t="shared" si="2"/>
        <v>-134.1250863</v>
      </c>
      <c r="T5" s="11">
        <f t="shared" si="3"/>
        <v>0.0000909</v>
      </c>
      <c r="U5" s="12">
        <f t="shared" si="4"/>
        <v>10.74377854</v>
      </c>
      <c r="V5" s="13">
        <f t="shared" si="5"/>
        <v>134.554701</v>
      </c>
      <c r="W5" s="13">
        <f t="shared" si="6"/>
        <v>65.445299</v>
      </c>
    </row>
    <row r="6" ht="22.5" customHeight="1">
      <c r="A6" s="7">
        <v>45721.676969374996</v>
      </c>
      <c r="B6" s="8" t="s">
        <v>44</v>
      </c>
      <c r="C6" s="8" t="s">
        <v>40</v>
      </c>
      <c r="D6" s="8">
        <v>2.0</v>
      </c>
      <c r="E6" s="8" t="s">
        <v>45</v>
      </c>
      <c r="F6" s="8" t="s">
        <v>46</v>
      </c>
      <c r="G6" s="8">
        <v>42.3737373</v>
      </c>
      <c r="H6" s="8">
        <v>-71.1175476</v>
      </c>
      <c r="I6" s="8">
        <v>10.0</v>
      </c>
      <c r="J6" s="8" t="s">
        <v>27</v>
      </c>
      <c r="K6" s="9" t="s">
        <v>47</v>
      </c>
      <c r="P6" s="10">
        <v>42.37411895</v>
      </c>
      <c r="Q6" s="10">
        <v>-71.1176378</v>
      </c>
      <c r="R6" s="11">
        <f t="shared" si="1"/>
        <v>-0.00038165</v>
      </c>
      <c r="S6" s="12">
        <f t="shared" si="2"/>
        <v>-139.3841775</v>
      </c>
      <c r="T6" s="11">
        <f t="shared" si="3"/>
        <v>0.0000902</v>
      </c>
      <c r="U6" s="12">
        <f t="shared" si="4"/>
        <v>10.66104317</v>
      </c>
      <c r="V6" s="13">
        <f t="shared" si="5"/>
        <v>139.7912973</v>
      </c>
      <c r="W6" s="13">
        <f t="shared" si="6"/>
        <v>-129.7912973</v>
      </c>
    </row>
    <row r="7" ht="22.5" customHeight="1">
      <c r="A7" s="7">
        <v>45721.67732930556</v>
      </c>
      <c r="B7" s="8" t="s">
        <v>48</v>
      </c>
      <c r="C7" s="8" t="s">
        <v>40</v>
      </c>
      <c r="D7" s="8">
        <v>1.0</v>
      </c>
      <c r="E7" s="8" t="s">
        <v>49</v>
      </c>
      <c r="F7" s="8" t="s">
        <v>50</v>
      </c>
      <c r="G7" s="8">
        <v>42.3740118</v>
      </c>
      <c r="H7" s="8">
        <v>-71.117766</v>
      </c>
      <c r="I7" s="8">
        <v>20.0</v>
      </c>
      <c r="J7" s="8" t="s">
        <v>32</v>
      </c>
      <c r="K7" s="9" t="s">
        <v>51</v>
      </c>
      <c r="P7" s="10">
        <v>42.37411895</v>
      </c>
      <c r="Q7" s="10">
        <v>-71.1176378</v>
      </c>
      <c r="R7" s="11">
        <f t="shared" si="1"/>
        <v>-0.00010715</v>
      </c>
      <c r="S7" s="12">
        <f t="shared" si="2"/>
        <v>-39.13275154</v>
      </c>
      <c r="T7" s="11">
        <f t="shared" si="3"/>
        <v>-0.0001282</v>
      </c>
      <c r="U7" s="12">
        <f t="shared" si="4"/>
        <v>-15.15239173</v>
      </c>
      <c r="V7" s="13">
        <f t="shared" si="5"/>
        <v>41.96387992</v>
      </c>
      <c r="W7" s="13">
        <f t="shared" si="6"/>
        <v>-21.96387992</v>
      </c>
    </row>
    <row r="8" ht="22.5" customHeight="1">
      <c r="A8" s="7">
        <v>45721.67773119213</v>
      </c>
      <c r="B8" s="8" t="s">
        <v>52</v>
      </c>
      <c r="C8" s="8" t="s">
        <v>53</v>
      </c>
      <c r="D8" s="8">
        <v>1.0</v>
      </c>
      <c r="E8" s="8" t="s">
        <v>54</v>
      </c>
      <c r="F8" s="8" t="s">
        <v>55</v>
      </c>
      <c r="G8" s="8">
        <v>42.3746097</v>
      </c>
      <c r="H8" s="8">
        <v>-71.1166625</v>
      </c>
      <c r="I8" s="8">
        <v>100.0</v>
      </c>
      <c r="J8" s="8" t="s">
        <v>27</v>
      </c>
      <c r="K8" s="9" t="s">
        <v>56</v>
      </c>
      <c r="P8" s="10">
        <v>42.37411895</v>
      </c>
      <c r="Q8" s="10">
        <v>-71.1176378</v>
      </c>
      <c r="R8" s="11">
        <f t="shared" si="1"/>
        <v>0.00049075</v>
      </c>
      <c r="S8" s="12">
        <f t="shared" si="2"/>
        <v>179.2290977</v>
      </c>
      <c r="T8" s="11">
        <f t="shared" si="3"/>
        <v>0.0009753</v>
      </c>
      <c r="U8" s="12">
        <f t="shared" si="4"/>
        <v>115.2740067</v>
      </c>
      <c r="V8" s="13">
        <f t="shared" si="5"/>
        <v>213.0989584</v>
      </c>
      <c r="W8" s="13">
        <f t="shared" si="6"/>
        <v>-113.0989584</v>
      </c>
    </row>
    <row r="9" ht="22.5" customHeight="1">
      <c r="A9" s="7">
        <v>45721.67783064814</v>
      </c>
      <c r="B9" s="8" t="s">
        <v>57</v>
      </c>
      <c r="C9" s="8" t="s">
        <v>40</v>
      </c>
      <c r="D9" s="8">
        <v>2.0</v>
      </c>
      <c r="E9" s="8" t="s">
        <v>58</v>
      </c>
      <c r="F9" s="8" t="s">
        <v>59</v>
      </c>
      <c r="G9" s="8">
        <v>42.3738087</v>
      </c>
      <c r="H9" s="8">
        <v>-71.1174748</v>
      </c>
      <c r="I9" s="8">
        <v>17.0</v>
      </c>
      <c r="J9" s="8" t="s">
        <v>60</v>
      </c>
      <c r="K9" s="9" t="s">
        <v>61</v>
      </c>
      <c r="L9" s="8">
        <v>42.3753143</v>
      </c>
      <c r="M9" s="8">
        <v>-71.1173504</v>
      </c>
      <c r="N9" s="8">
        <v>42.3738087</v>
      </c>
      <c r="O9" s="8">
        <v>-71.1174748</v>
      </c>
      <c r="P9" s="10">
        <v>42.37411895</v>
      </c>
      <c r="Q9" s="10">
        <v>-71.1176378</v>
      </c>
      <c r="R9" s="11">
        <f t="shared" si="1"/>
        <v>-0.00031025</v>
      </c>
      <c r="S9" s="12">
        <f t="shared" si="2"/>
        <v>-113.3078503</v>
      </c>
      <c r="T9" s="11">
        <f t="shared" si="3"/>
        <v>0.000163</v>
      </c>
      <c r="U9" s="12">
        <f t="shared" si="4"/>
        <v>19.26552147</v>
      </c>
      <c r="V9" s="13">
        <f t="shared" si="5"/>
        <v>114.9340214</v>
      </c>
      <c r="W9" s="13">
        <f t="shared" si="6"/>
        <v>-97.93402136</v>
      </c>
    </row>
    <row r="10" ht="22.5" customHeight="1">
      <c r="A10" s="7">
        <v>45721.6779689699</v>
      </c>
      <c r="B10" s="8" t="s">
        <v>62</v>
      </c>
      <c r="C10" s="8" t="s">
        <v>63</v>
      </c>
      <c r="D10" s="8">
        <v>2.0</v>
      </c>
      <c r="E10" s="8" t="s">
        <v>64</v>
      </c>
      <c r="F10" s="8" t="s">
        <v>65</v>
      </c>
      <c r="G10" s="8">
        <v>42.3740611</v>
      </c>
      <c r="H10" s="8">
        <v>-71.1173085</v>
      </c>
      <c r="I10" s="8">
        <v>100.0</v>
      </c>
      <c r="J10" s="8" t="s">
        <v>32</v>
      </c>
      <c r="K10" s="9" t="s">
        <v>66</v>
      </c>
      <c r="P10" s="10">
        <v>42.37411895</v>
      </c>
      <c r="Q10" s="10">
        <v>-71.1176378</v>
      </c>
      <c r="R10" s="11">
        <f t="shared" si="1"/>
        <v>-0.00005785</v>
      </c>
      <c r="S10" s="12">
        <f t="shared" si="2"/>
        <v>-21.12766847</v>
      </c>
      <c r="T10" s="11">
        <f t="shared" si="3"/>
        <v>0.0003293</v>
      </c>
      <c r="U10" s="12">
        <f t="shared" si="4"/>
        <v>38.9210811</v>
      </c>
      <c r="V10" s="13">
        <f t="shared" si="5"/>
        <v>44.2857644</v>
      </c>
      <c r="W10" s="13">
        <f t="shared" si="6"/>
        <v>55.7142356</v>
      </c>
    </row>
    <row r="11" ht="22.5" customHeight="1">
      <c r="A11" s="7">
        <v>45721.678068622685</v>
      </c>
      <c r="B11" s="8" t="s">
        <v>67</v>
      </c>
      <c r="C11" s="8" t="s">
        <v>35</v>
      </c>
      <c r="D11" s="8">
        <v>1.0</v>
      </c>
      <c r="E11" s="8" t="s">
        <v>68</v>
      </c>
      <c r="F11" s="8" t="s">
        <v>69</v>
      </c>
      <c r="G11" s="8">
        <v>42.3739414</v>
      </c>
      <c r="H11" s="8">
        <v>-71.1178899</v>
      </c>
      <c r="I11" s="8">
        <v>60.0</v>
      </c>
      <c r="J11" s="8" t="s">
        <v>60</v>
      </c>
      <c r="K11" s="9" t="s">
        <v>70</v>
      </c>
      <c r="L11" s="8">
        <v>42.375268</v>
      </c>
      <c r="M11" s="8">
        <v>-71.1175825</v>
      </c>
      <c r="N11" s="8">
        <v>42.3745772</v>
      </c>
      <c r="O11" s="8">
        <v>-71.1177149</v>
      </c>
      <c r="P11" s="10">
        <v>42.37411895</v>
      </c>
      <c r="Q11" s="10">
        <v>-71.1176378</v>
      </c>
      <c r="R11" s="11">
        <f t="shared" si="1"/>
        <v>-0.00017755</v>
      </c>
      <c r="S11" s="12">
        <f t="shared" si="2"/>
        <v>-64.84386407</v>
      </c>
      <c r="T11" s="11">
        <f t="shared" si="3"/>
        <v>-0.0002521</v>
      </c>
      <c r="U11" s="12">
        <f t="shared" si="4"/>
        <v>-29.79655191</v>
      </c>
      <c r="V11" s="13">
        <f t="shared" si="5"/>
        <v>71.36218335</v>
      </c>
      <c r="W11" s="13">
        <f t="shared" si="6"/>
        <v>-11.36218335</v>
      </c>
    </row>
    <row r="12" ht="22.5" customHeight="1">
      <c r="A12" s="7">
        <v>45721.678182731484</v>
      </c>
      <c r="B12" s="8" t="s">
        <v>71</v>
      </c>
      <c r="C12" s="8" t="s">
        <v>24</v>
      </c>
      <c r="D12" s="8">
        <v>1.0</v>
      </c>
      <c r="E12" s="8" t="s">
        <v>72</v>
      </c>
      <c r="F12" s="8" t="s">
        <v>73</v>
      </c>
      <c r="G12" s="8">
        <v>42.3742315</v>
      </c>
      <c r="H12" s="8">
        <v>-71.1183462</v>
      </c>
      <c r="I12" s="8">
        <v>20.0</v>
      </c>
      <c r="J12" s="8" t="s">
        <v>27</v>
      </c>
      <c r="K12" s="9" t="s">
        <v>74</v>
      </c>
      <c r="P12" s="10">
        <v>42.37411895</v>
      </c>
      <c r="Q12" s="10">
        <v>-71.1176378</v>
      </c>
      <c r="R12" s="11">
        <f t="shared" si="1"/>
        <v>0.00011255</v>
      </c>
      <c r="S12" s="12">
        <f t="shared" si="2"/>
        <v>41.10491073</v>
      </c>
      <c r="T12" s="11">
        <f t="shared" si="3"/>
        <v>-0.0007084</v>
      </c>
      <c r="U12" s="12">
        <f t="shared" si="4"/>
        <v>-83.72819268</v>
      </c>
      <c r="V12" s="13">
        <f t="shared" si="5"/>
        <v>93.27391884</v>
      </c>
      <c r="W12" s="13">
        <f t="shared" si="6"/>
        <v>-73.27391884</v>
      </c>
    </row>
    <row r="13" ht="22.5" customHeight="1">
      <c r="A13" s="7">
        <v>45721.678345057866</v>
      </c>
      <c r="B13" s="8" t="s">
        <v>75</v>
      </c>
      <c r="C13" s="8" t="s">
        <v>35</v>
      </c>
      <c r="D13" s="8">
        <v>1.0</v>
      </c>
      <c r="E13" s="8" t="s">
        <v>76</v>
      </c>
      <c r="F13" s="8" t="s">
        <v>77</v>
      </c>
      <c r="G13" s="8">
        <v>42.374093</v>
      </c>
      <c r="H13" s="8">
        <v>-71.1177223</v>
      </c>
      <c r="I13" s="8">
        <v>30.0</v>
      </c>
      <c r="J13" s="8" t="s">
        <v>27</v>
      </c>
      <c r="K13" s="9" t="s">
        <v>78</v>
      </c>
      <c r="P13" s="10">
        <v>42.37411895</v>
      </c>
      <c r="Q13" s="10">
        <v>-71.1176378</v>
      </c>
      <c r="R13" s="11">
        <f t="shared" si="1"/>
        <v>-0.00002595</v>
      </c>
      <c r="S13" s="12">
        <f t="shared" si="2"/>
        <v>-9.4773206</v>
      </c>
      <c r="T13" s="11">
        <f t="shared" si="3"/>
        <v>-0.0000845</v>
      </c>
      <c r="U13" s="12">
        <f t="shared" si="4"/>
        <v>-9.987340882</v>
      </c>
      <c r="V13" s="13">
        <f t="shared" si="5"/>
        <v>13.76831811</v>
      </c>
      <c r="W13" s="13">
        <f t="shared" si="6"/>
        <v>16.23168189</v>
      </c>
    </row>
    <row r="14" ht="22.5" customHeight="1">
      <c r="A14" s="7">
        <v>45721.67834575231</v>
      </c>
      <c r="B14" s="8" t="s">
        <v>79</v>
      </c>
      <c r="C14" s="8" t="s">
        <v>40</v>
      </c>
      <c r="D14" s="8">
        <v>2.0</v>
      </c>
      <c r="E14" s="8" t="s">
        <v>80</v>
      </c>
      <c r="F14" s="8" t="s">
        <v>81</v>
      </c>
      <c r="G14" s="8">
        <v>42.3737373</v>
      </c>
      <c r="H14" s="8">
        <v>-71.1175476</v>
      </c>
      <c r="I14" s="8">
        <v>10.0</v>
      </c>
      <c r="J14" s="8" t="s">
        <v>32</v>
      </c>
      <c r="K14" s="9" t="s">
        <v>82</v>
      </c>
      <c r="P14" s="10">
        <v>42.37411895</v>
      </c>
      <c r="Q14" s="10">
        <v>-71.1176378</v>
      </c>
      <c r="R14" s="11">
        <f t="shared" si="1"/>
        <v>-0.00038165</v>
      </c>
      <c r="S14" s="12">
        <f t="shared" si="2"/>
        <v>-139.3841775</v>
      </c>
      <c r="T14" s="11">
        <f t="shared" si="3"/>
        <v>0.0000902</v>
      </c>
      <c r="U14" s="12">
        <f t="shared" si="4"/>
        <v>10.66104317</v>
      </c>
      <c r="V14" s="13">
        <f t="shared" si="5"/>
        <v>139.7912973</v>
      </c>
      <c r="W14" s="13">
        <f t="shared" si="6"/>
        <v>-129.7912973</v>
      </c>
    </row>
    <row r="15" ht="22.5" customHeight="1">
      <c r="A15" s="7">
        <v>45721.67895288194</v>
      </c>
      <c r="B15" s="8" t="s">
        <v>83</v>
      </c>
      <c r="C15" s="8" t="s">
        <v>35</v>
      </c>
      <c r="D15" s="8">
        <v>1.0</v>
      </c>
      <c r="E15" s="8" t="s">
        <v>84</v>
      </c>
      <c r="F15" s="8" t="s">
        <v>85</v>
      </c>
      <c r="G15" s="8">
        <v>42.37423</v>
      </c>
      <c r="H15" s="8">
        <v>-71.11779</v>
      </c>
      <c r="I15" s="8">
        <v>30.0</v>
      </c>
      <c r="J15" s="8" t="s">
        <v>32</v>
      </c>
      <c r="K15" s="9" t="s">
        <v>86</v>
      </c>
      <c r="P15" s="10">
        <v>42.37411895</v>
      </c>
      <c r="Q15" s="10">
        <v>-71.1176378</v>
      </c>
      <c r="R15" s="11">
        <f t="shared" si="1"/>
        <v>0.00011105</v>
      </c>
      <c r="S15" s="12">
        <f t="shared" si="2"/>
        <v>40.55708873</v>
      </c>
      <c r="T15" s="11">
        <f t="shared" si="3"/>
        <v>-0.0001522</v>
      </c>
      <c r="U15" s="12">
        <f t="shared" si="4"/>
        <v>-17.98903293</v>
      </c>
      <c r="V15" s="13">
        <f t="shared" si="5"/>
        <v>44.36758673</v>
      </c>
      <c r="W15" s="13">
        <f t="shared" si="6"/>
        <v>-14.36758673</v>
      </c>
    </row>
    <row r="16" ht="22.5" customHeight="1">
      <c r="A16" s="7">
        <v>45721.679134618054</v>
      </c>
      <c r="B16" s="8" t="s">
        <v>87</v>
      </c>
      <c r="C16" s="8" t="s">
        <v>40</v>
      </c>
      <c r="D16" s="8">
        <v>1.0</v>
      </c>
      <c r="E16" s="8" t="s">
        <v>88</v>
      </c>
      <c r="F16" s="8" t="s">
        <v>89</v>
      </c>
      <c r="G16" s="8">
        <v>42.37405</v>
      </c>
      <c r="H16" s="8">
        <v>-71.11751</v>
      </c>
      <c r="I16" s="8">
        <v>10.0</v>
      </c>
      <c r="J16" s="8" t="s">
        <v>27</v>
      </c>
      <c r="K16" s="9" t="s">
        <v>90</v>
      </c>
      <c r="P16" s="10">
        <v>42.37411895</v>
      </c>
      <c r="Q16" s="10">
        <v>-71.1176378</v>
      </c>
      <c r="R16" s="11">
        <f t="shared" si="1"/>
        <v>-0.00006895000001</v>
      </c>
      <c r="S16" s="12">
        <f t="shared" si="2"/>
        <v>-25.18155127</v>
      </c>
      <c r="T16" s="11">
        <f t="shared" si="3"/>
        <v>0.0001278</v>
      </c>
      <c r="U16" s="12">
        <f t="shared" si="4"/>
        <v>15.10511438</v>
      </c>
      <c r="V16" s="13">
        <f t="shared" si="5"/>
        <v>29.36451949</v>
      </c>
      <c r="W16" s="13">
        <f t="shared" si="6"/>
        <v>-19.36451949</v>
      </c>
    </row>
    <row r="17" ht="22.5" customHeight="1">
      <c r="A17" s="7">
        <v>45721.67949912037</v>
      </c>
      <c r="B17" s="8" t="s">
        <v>91</v>
      </c>
      <c r="C17" s="8" t="s">
        <v>40</v>
      </c>
      <c r="D17" s="8">
        <v>1.0</v>
      </c>
      <c r="E17" s="8" t="s">
        <v>92</v>
      </c>
      <c r="F17" s="8" t="s">
        <v>93</v>
      </c>
      <c r="G17" s="8">
        <v>42.37371</v>
      </c>
      <c r="H17" s="8">
        <v>-71.1174401</v>
      </c>
      <c r="I17" s="8">
        <v>5.0</v>
      </c>
      <c r="J17" s="8" t="s">
        <v>27</v>
      </c>
      <c r="K17" s="9" t="s">
        <v>94</v>
      </c>
      <c r="P17" s="10">
        <v>42.37411895</v>
      </c>
      <c r="Q17" s="10">
        <v>-71.1176378</v>
      </c>
      <c r="R17" s="11">
        <f t="shared" si="1"/>
        <v>-0.00040895</v>
      </c>
      <c r="S17" s="12">
        <f t="shared" si="2"/>
        <v>-149.3545379</v>
      </c>
      <c r="T17" s="11">
        <f t="shared" si="3"/>
        <v>0.0001977</v>
      </c>
      <c r="U17" s="12">
        <f t="shared" si="4"/>
        <v>23.36683186</v>
      </c>
      <c r="V17" s="13">
        <f t="shared" si="5"/>
        <v>151.1713823</v>
      </c>
      <c r="W17" s="13">
        <f t="shared" si="6"/>
        <v>-146.1713823</v>
      </c>
    </row>
    <row r="18" ht="22.5" customHeight="1">
      <c r="A18" s="7">
        <v>45721.67953951389</v>
      </c>
      <c r="B18" s="8" t="s">
        <v>95</v>
      </c>
      <c r="C18" s="8" t="s">
        <v>53</v>
      </c>
      <c r="D18" s="8">
        <v>1.0</v>
      </c>
      <c r="E18" s="8" t="s">
        <v>96</v>
      </c>
      <c r="F18" s="8" t="s">
        <v>97</v>
      </c>
      <c r="G18" s="8">
        <v>42.37488</v>
      </c>
      <c r="H18" s="8">
        <v>-71.11668</v>
      </c>
      <c r="I18" s="8">
        <v>100.0</v>
      </c>
      <c r="J18" s="8" t="s">
        <v>27</v>
      </c>
      <c r="K18" s="9" t="s">
        <v>98</v>
      </c>
      <c r="P18" s="10">
        <v>42.37411895</v>
      </c>
      <c r="Q18" s="10">
        <v>-71.1176378</v>
      </c>
      <c r="R18" s="11">
        <f t="shared" si="1"/>
        <v>0.00076105</v>
      </c>
      <c r="S18" s="12">
        <f t="shared" si="2"/>
        <v>277.9466221</v>
      </c>
      <c r="T18" s="11">
        <f t="shared" si="3"/>
        <v>0.0009578</v>
      </c>
      <c r="U18" s="12">
        <f t="shared" si="4"/>
        <v>113.2056224</v>
      </c>
      <c r="V18" s="13">
        <f t="shared" si="5"/>
        <v>300.1163735</v>
      </c>
      <c r="W18" s="13">
        <f t="shared" si="6"/>
        <v>-200.1163735</v>
      </c>
    </row>
    <row r="19" ht="22.5" customHeight="1">
      <c r="A19" s="7">
        <v>45721.680551840276</v>
      </c>
      <c r="B19" s="8" t="s">
        <v>99</v>
      </c>
      <c r="C19" s="8" t="s">
        <v>63</v>
      </c>
      <c r="D19" s="8">
        <v>2.0</v>
      </c>
      <c r="E19" s="8" t="s">
        <v>100</v>
      </c>
      <c r="F19" s="8" t="s">
        <v>101</v>
      </c>
      <c r="G19" s="8">
        <v>42.3742897</v>
      </c>
      <c r="H19" s="8">
        <v>-71.1173679</v>
      </c>
      <c r="I19" s="8">
        <v>7.5</v>
      </c>
      <c r="J19" s="8" t="s">
        <v>60</v>
      </c>
      <c r="K19" s="9" t="s">
        <v>102</v>
      </c>
      <c r="L19" s="8">
        <v>42.373245</v>
      </c>
      <c r="M19" s="8">
        <v>-71.1170077</v>
      </c>
      <c r="N19" s="8">
        <v>42.373969</v>
      </c>
      <c r="O19" s="8">
        <v>-71.1180417</v>
      </c>
      <c r="P19" s="10">
        <v>42.37411895</v>
      </c>
      <c r="Q19" s="10">
        <v>-71.1176378</v>
      </c>
      <c r="R19" s="11">
        <f t="shared" si="1"/>
        <v>0.00017075</v>
      </c>
      <c r="S19" s="12">
        <f t="shared" si="2"/>
        <v>62.36040433</v>
      </c>
      <c r="T19" s="11">
        <f t="shared" si="3"/>
        <v>0.0002699</v>
      </c>
      <c r="U19" s="12">
        <f t="shared" si="4"/>
        <v>31.90039413</v>
      </c>
      <c r="V19" s="13">
        <f t="shared" si="5"/>
        <v>70.04609321</v>
      </c>
      <c r="W19" s="13">
        <f t="shared" si="6"/>
        <v>-62.54609321</v>
      </c>
    </row>
    <row r="20" ht="22.5" customHeight="1">
      <c r="A20" s="7">
        <v>45721.68059415509</v>
      </c>
      <c r="B20" s="8" t="s">
        <v>103</v>
      </c>
      <c r="C20" s="8" t="s">
        <v>53</v>
      </c>
      <c r="D20" s="8">
        <v>1.0</v>
      </c>
      <c r="E20" s="8" t="s">
        <v>104</v>
      </c>
      <c r="F20" s="8" t="s">
        <v>105</v>
      </c>
      <c r="G20" s="8">
        <v>42.37459</v>
      </c>
      <c r="H20" s="8">
        <v>-71.11687</v>
      </c>
      <c r="I20" s="8">
        <v>100.0</v>
      </c>
      <c r="J20" s="8" t="s">
        <v>60</v>
      </c>
      <c r="K20" s="9" t="s">
        <v>106</v>
      </c>
      <c r="L20" s="8">
        <v>42.37394</v>
      </c>
      <c r="M20" s="8">
        <v>-71.11762</v>
      </c>
      <c r="N20" s="8">
        <v>42.3741</v>
      </c>
      <c r="O20" s="8">
        <v>-71.11612</v>
      </c>
      <c r="P20" s="10">
        <v>42.37411895</v>
      </c>
      <c r="Q20" s="10">
        <v>-71.1176378</v>
      </c>
      <c r="R20" s="11">
        <f t="shared" si="1"/>
        <v>0.00047105</v>
      </c>
      <c r="S20" s="12">
        <f t="shared" si="2"/>
        <v>172.0343687</v>
      </c>
      <c r="T20" s="11">
        <f t="shared" si="3"/>
        <v>0.0007678</v>
      </c>
      <c r="U20" s="12">
        <f t="shared" si="4"/>
        <v>90.74887964</v>
      </c>
      <c r="V20" s="13">
        <f t="shared" si="5"/>
        <v>194.5023989</v>
      </c>
      <c r="W20" s="13">
        <f t="shared" si="6"/>
        <v>-94.50239891</v>
      </c>
    </row>
    <row r="21" ht="22.5" customHeight="1">
      <c r="A21" s="7">
        <v>45721.68078765046</v>
      </c>
      <c r="B21" s="8" t="s">
        <v>83</v>
      </c>
      <c r="C21" s="8" t="s">
        <v>35</v>
      </c>
      <c r="D21" s="8">
        <v>1.0</v>
      </c>
      <c r="E21" s="8" t="s">
        <v>107</v>
      </c>
      <c r="F21" s="8" t="s">
        <v>85</v>
      </c>
      <c r="G21" s="8">
        <v>42.37423</v>
      </c>
      <c r="H21" s="8">
        <v>-71.11779</v>
      </c>
      <c r="I21" s="8">
        <v>60.0</v>
      </c>
      <c r="J21" s="8" t="s">
        <v>32</v>
      </c>
      <c r="K21" s="9" t="s">
        <v>108</v>
      </c>
      <c r="P21" s="10">
        <v>42.37411895</v>
      </c>
      <c r="Q21" s="10">
        <v>-71.1176378</v>
      </c>
      <c r="R21" s="11">
        <f t="shared" si="1"/>
        <v>0.00011105</v>
      </c>
      <c r="S21" s="12">
        <f t="shared" si="2"/>
        <v>40.55708873</v>
      </c>
      <c r="T21" s="11">
        <f t="shared" si="3"/>
        <v>-0.0001522</v>
      </c>
      <c r="U21" s="12">
        <f t="shared" si="4"/>
        <v>-17.98903293</v>
      </c>
      <c r="V21" s="13">
        <f t="shared" si="5"/>
        <v>44.36758673</v>
      </c>
      <c r="W21" s="13">
        <f t="shared" si="6"/>
        <v>15.63241327</v>
      </c>
    </row>
    <row r="22" ht="22.5" customHeight="1">
      <c r="A22" s="7">
        <v>45721.68144511574</v>
      </c>
      <c r="B22" s="8" t="s">
        <v>109</v>
      </c>
      <c r="C22" s="8" t="s">
        <v>24</v>
      </c>
      <c r="D22" s="8">
        <v>2.0</v>
      </c>
      <c r="E22" s="8" t="s">
        <v>110</v>
      </c>
      <c r="F22" s="8" t="s">
        <v>111</v>
      </c>
      <c r="G22" s="8">
        <v>42.3737703</v>
      </c>
      <c r="H22" s="8">
        <v>-71.1181883</v>
      </c>
      <c r="I22" s="8">
        <v>50.0</v>
      </c>
      <c r="J22" s="8" t="s">
        <v>27</v>
      </c>
      <c r="K22" s="9" t="s">
        <v>112</v>
      </c>
      <c r="P22" s="10">
        <v>42.37411895</v>
      </c>
      <c r="Q22" s="10">
        <v>-71.1176378</v>
      </c>
      <c r="R22" s="11">
        <f t="shared" si="1"/>
        <v>-0.00034865</v>
      </c>
      <c r="S22" s="12">
        <f t="shared" si="2"/>
        <v>-127.3320935</v>
      </c>
      <c r="T22" s="11">
        <f t="shared" si="3"/>
        <v>-0.0005505</v>
      </c>
      <c r="U22" s="12">
        <f t="shared" si="4"/>
        <v>-65.06545746</v>
      </c>
      <c r="V22" s="13">
        <f t="shared" si="5"/>
        <v>142.9929222</v>
      </c>
      <c r="W22" s="13">
        <f t="shared" si="6"/>
        <v>-92.9929222</v>
      </c>
    </row>
    <row r="23" ht="22.5" customHeight="1">
      <c r="A23" s="7">
        <v>45721.682709305554</v>
      </c>
      <c r="B23" s="8" t="s">
        <v>113</v>
      </c>
      <c r="C23" s="8" t="s">
        <v>63</v>
      </c>
      <c r="D23" s="8">
        <v>1.0</v>
      </c>
      <c r="E23" s="8" t="s">
        <v>114</v>
      </c>
      <c r="F23" s="8" t="s">
        <v>115</v>
      </c>
      <c r="G23" s="8">
        <v>42.3735518</v>
      </c>
      <c r="H23" s="8">
        <v>-71.1170098</v>
      </c>
      <c r="I23" s="8">
        <v>10.0</v>
      </c>
      <c r="J23" s="8" t="s">
        <v>60</v>
      </c>
      <c r="K23" s="9" t="s">
        <v>116</v>
      </c>
      <c r="L23" s="8">
        <v>42.3730913</v>
      </c>
      <c r="M23" s="8">
        <v>-71.1166112</v>
      </c>
      <c r="N23" s="8">
        <v>42.3734329</v>
      </c>
      <c r="O23" s="8">
        <v>-71.1180019</v>
      </c>
      <c r="P23" s="10">
        <v>42.37411895</v>
      </c>
      <c r="Q23" s="10">
        <v>-71.1176378</v>
      </c>
      <c r="R23" s="11">
        <f t="shared" si="1"/>
        <v>-0.00056715</v>
      </c>
      <c r="S23" s="12">
        <f t="shared" si="2"/>
        <v>-207.1314982</v>
      </c>
      <c r="T23" s="11">
        <f t="shared" si="3"/>
        <v>0.000628</v>
      </c>
      <c r="U23" s="12">
        <f t="shared" si="4"/>
        <v>74.22544466</v>
      </c>
      <c r="V23" s="13">
        <f t="shared" si="5"/>
        <v>220.0292576</v>
      </c>
      <c r="W23" s="13">
        <f t="shared" si="6"/>
        <v>-210.0292576</v>
      </c>
    </row>
    <row r="24" ht="22.5" customHeight="1">
      <c r="A24" s="7">
        <v>45721.682742916666</v>
      </c>
      <c r="B24" s="8" t="s">
        <v>117</v>
      </c>
      <c r="C24" s="8" t="s">
        <v>63</v>
      </c>
      <c r="D24" s="8">
        <v>1.0</v>
      </c>
      <c r="E24" s="8" t="s">
        <v>118</v>
      </c>
      <c r="F24" s="8" t="s">
        <v>119</v>
      </c>
      <c r="G24" s="8">
        <v>42.37351</v>
      </c>
      <c r="H24" s="8">
        <v>-71.11728</v>
      </c>
      <c r="I24" s="8">
        <v>50.0</v>
      </c>
      <c r="J24" s="8" t="s">
        <v>27</v>
      </c>
      <c r="K24" s="9" t="s">
        <v>120</v>
      </c>
      <c r="P24" s="10">
        <v>42.37411895</v>
      </c>
      <c r="Q24" s="10">
        <v>-71.1176378</v>
      </c>
      <c r="R24" s="11">
        <f t="shared" si="1"/>
        <v>-0.00060895</v>
      </c>
      <c r="S24" s="12">
        <f t="shared" si="2"/>
        <v>-222.3974713</v>
      </c>
      <c r="T24" s="11">
        <f t="shared" si="3"/>
        <v>0.0003578</v>
      </c>
      <c r="U24" s="12">
        <f t="shared" si="4"/>
        <v>42.28959252</v>
      </c>
      <c r="V24" s="13">
        <f t="shared" si="5"/>
        <v>226.3825189</v>
      </c>
      <c r="W24" s="13">
        <f t="shared" si="6"/>
        <v>-176.3825189</v>
      </c>
    </row>
    <row r="25" ht="22.5" customHeight="1">
      <c r="A25" s="7">
        <v>45721.68287444444</v>
      </c>
      <c r="B25" s="8" t="s">
        <v>121</v>
      </c>
      <c r="C25" s="8" t="s">
        <v>63</v>
      </c>
      <c r="D25" s="8">
        <v>1.0</v>
      </c>
      <c r="E25" s="8" t="s">
        <v>122</v>
      </c>
      <c r="F25" s="8" t="s">
        <v>123</v>
      </c>
      <c r="G25" s="8">
        <v>42.3735746</v>
      </c>
      <c r="H25" s="8">
        <v>-71.1172529</v>
      </c>
      <c r="I25" s="8">
        <v>50.0</v>
      </c>
      <c r="J25" s="8" t="s">
        <v>32</v>
      </c>
      <c r="K25" s="9" t="s">
        <v>124</v>
      </c>
      <c r="P25" s="10">
        <v>42.37411895</v>
      </c>
      <c r="Q25" s="10">
        <v>-71.1176378</v>
      </c>
      <c r="R25" s="11">
        <f t="shared" si="1"/>
        <v>-0.00054435</v>
      </c>
      <c r="S25" s="12">
        <f t="shared" si="2"/>
        <v>-198.8046038</v>
      </c>
      <c r="T25" s="11">
        <f t="shared" si="3"/>
        <v>0.0003849</v>
      </c>
      <c r="U25" s="12">
        <f t="shared" si="4"/>
        <v>45.4926332</v>
      </c>
      <c r="V25" s="13">
        <f t="shared" si="5"/>
        <v>203.9432523</v>
      </c>
      <c r="W25" s="13">
        <f t="shared" si="6"/>
        <v>-153.9432523</v>
      </c>
    </row>
    <row r="26" ht="22.5" customHeight="1">
      <c r="A26" s="7">
        <v>45721.68309181713</v>
      </c>
      <c r="B26" s="8" t="s">
        <v>125</v>
      </c>
      <c r="C26" s="8" t="s">
        <v>24</v>
      </c>
      <c r="D26" s="8">
        <v>2.0</v>
      </c>
      <c r="E26" s="8" t="s">
        <v>126</v>
      </c>
      <c r="F26" s="8" t="s">
        <v>127</v>
      </c>
      <c r="G26" s="8">
        <v>42.3737703</v>
      </c>
      <c r="H26" s="8">
        <v>-71.1181883</v>
      </c>
      <c r="I26" s="8">
        <v>25.0</v>
      </c>
      <c r="J26" s="8" t="s">
        <v>32</v>
      </c>
      <c r="K26" s="9" t="s">
        <v>128</v>
      </c>
      <c r="P26" s="10">
        <v>42.37411895</v>
      </c>
      <c r="Q26" s="10">
        <v>-71.1176378</v>
      </c>
      <c r="R26" s="11">
        <f t="shared" si="1"/>
        <v>-0.00034865</v>
      </c>
      <c r="S26" s="12">
        <f t="shared" si="2"/>
        <v>-127.3320935</v>
      </c>
      <c r="T26" s="11">
        <f t="shared" si="3"/>
        <v>-0.0005505</v>
      </c>
      <c r="U26" s="12">
        <f t="shared" si="4"/>
        <v>-65.06545746</v>
      </c>
      <c r="V26" s="13">
        <f t="shared" si="5"/>
        <v>142.9929222</v>
      </c>
      <c r="W26" s="13">
        <f t="shared" si="6"/>
        <v>-117.9929222</v>
      </c>
    </row>
    <row r="27" ht="22.5" customHeight="1">
      <c r="A27" s="7">
        <v>45721.68310034722</v>
      </c>
      <c r="B27" s="8" t="s">
        <v>129</v>
      </c>
      <c r="C27" s="8" t="s">
        <v>63</v>
      </c>
      <c r="D27" s="8">
        <v>1.0</v>
      </c>
      <c r="E27" s="8" t="s">
        <v>76</v>
      </c>
      <c r="F27" s="8" t="s">
        <v>130</v>
      </c>
      <c r="G27" s="8">
        <v>42.3735692</v>
      </c>
      <c r="H27" s="8">
        <v>-71.1172308</v>
      </c>
      <c r="I27" s="8">
        <v>20.0</v>
      </c>
      <c r="J27" s="8" t="s">
        <v>27</v>
      </c>
      <c r="K27" s="9" t="s">
        <v>131</v>
      </c>
      <c r="P27" s="10">
        <v>42.37411895</v>
      </c>
      <c r="Q27" s="10">
        <v>-71.1176378</v>
      </c>
      <c r="R27" s="11">
        <f t="shared" si="1"/>
        <v>-0.00054975</v>
      </c>
      <c r="S27" s="12">
        <f t="shared" si="2"/>
        <v>-200.776763</v>
      </c>
      <c r="T27" s="11">
        <f t="shared" si="3"/>
        <v>0.000407</v>
      </c>
      <c r="U27" s="12">
        <f t="shared" si="4"/>
        <v>48.10470697</v>
      </c>
      <c r="V27" s="13">
        <f t="shared" si="5"/>
        <v>206.4591277</v>
      </c>
      <c r="W27" s="13">
        <f t="shared" si="6"/>
        <v>-186.4591277</v>
      </c>
    </row>
    <row r="28" ht="22.5" customHeight="1">
      <c r="A28" s="7">
        <v>45721.68319039352</v>
      </c>
      <c r="B28" s="8" t="s">
        <v>132</v>
      </c>
      <c r="C28" s="8" t="s">
        <v>35</v>
      </c>
      <c r="D28" s="8">
        <v>1.0</v>
      </c>
      <c r="E28" s="8" t="s">
        <v>133</v>
      </c>
      <c r="F28" s="8" t="s">
        <v>134</v>
      </c>
      <c r="G28" s="8">
        <v>42.37423</v>
      </c>
      <c r="H28" s="8">
        <v>-71.11779</v>
      </c>
      <c r="I28" s="8">
        <v>40.0</v>
      </c>
      <c r="J28" s="8" t="s">
        <v>27</v>
      </c>
      <c r="K28" s="9" t="s">
        <v>135</v>
      </c>
      <c r="P28" s="10">
        <v>42.37411895</v>
      </c>
      <c r="Q28" s="10">
        <v>-71.1176378</v>
      </c>
      <c r="R28" s="11">
        <f t="shared" si="1"/>
        <v>0.00011105</v>
      </c>
      <c r="S28" s="12">
        <f t="shared" si="2"/>
        <v>40.55708873</v>
      </c>
      <c r="T28" s="11">
        <f t="shared" si="3"/>
        <v>-0.0001522</v>
      </c>
      <c r="U28" s="12">
        <f t="shared" si="4"/>
        <v>-17.98903293</v>
      </c>
      <c r="V28" s="13">
        <f t="shared" si="5"/>
        <v>44.36758673</v>
      </c>
      <c r="W28" s="13">
        <f t="shared" si="6"/>
        <v>-4.367586727</v>
      </c>
    </row>
    <row r="29" ht="22.5" customHeight="1">
      <c r="A29" s="7">
        <v>45721.683303831014</v>
      </c>
      <c r="B29" s="8" t="s">
        <v>136</v>
      </c>
      <c r="C29" s="8" t="s">
        <v>63</v>
      </c>
      <c r="D29" s="8">
        <v>1.0</v>
      </c>
      <c r="E29" s="8" t="s">
        <v>137</v>
      </c>
      <c r="F29" s="8" t="s">
        <v>138</v>
      </c>
      <c r="G29" s="8">
        <v>42.37362</v>
      </c>
      <c r="H29" s="8">
        <v>-71.1173</v>
      </c>
      <c r="I29" s="8">
        <v>30.0</v>
      </c>
      <c r="J29" s="8" t="s">
        <v>27</v>
      </c>
      <c r="K29" s="9" t="s">
        <v>139</v>
      </c>
      <c r="P29" s="10">
        <v>42.37411895</v>
      </c>
      <c r="Q29" s="10">
        <v>-71.1176378</v>
      </c>
      <c r="R29" s="11">
        <f t="shared" si="1"/>
        <v>-0.00049895</v>
      </c>
      <c r="S29" s="12">
        <f t="shared" si="2"/>
        <v>-182.2238579</v>
      </c>
      <c r="T29" s="11">
        <f t="shared" si="3"/>
        <v>0.0003378</v>
      </c>
      <c r="U29" s="12">
        <f t="shared" si="4"/>
        <v>39.92572485</v>
      </c>
      <c r="V29" s="13">
        <f t="shared" si="5"/>
        <v>186.5465033</v>
      </c>
      <c r="W29" s="13">
        <f t="shared" si="6"/>
        <v>-156.5465033</v>
      </c>
    </row>
    <row r="30" ht="22.5" customHeight="1">
      <c r="A30" s="7">
        <v>45721.68346853009</v>
      </c>
      <c r="B30" s="8" t="s">
        <v>140</v>
      </c>
      <c r="C30" s="8" t="s">
        <v>24</v>
      </c>
      <c r="D30" s="8">
        <v>1.0</v>
      </c>
      <c r="E30" s="8" t="s">
        <v>141</v>
      </c>
      <c r="F30" s="8" t="s">
        <v>142</v>
      </c>
      <c r="G30" s="8">
        <v>42.3741034</v>
      </c>
      <c r="H30" s="8">
        <v>-71.1183187</v>
      </c>
      <c r="I30" s="8">
        <v>8.0</v>
      </c>
      <c r="J30" s="8" t="s">
        <v>60</v>
      </c>
      <c r="K30" s="9" t="s">
        <v>143</v>
      </c>
      <c r="L30" s="8">
        <v>42.3751655</v>
      </c>
      <c r="M30" s="8">
        <v>-71.117438</v>
      </c>
      <c r="N30" s="8">
        <v>42.3746226</v>
      </c>
      <c r="O30" s="8">
        <v>-71.1174886</v>
      </c>
      <c r="P30" s="10">
        <v>42.37411895</v>
      </c>
      <c r="Q30" s="10">
        <v>-71.1176378</v>
      </c>
      <c r="R30" s="11">
        <f t="shared" si="1"/>
        <v>-0.00001555</v>
      </c>
      <c r="S30" s="12">
        <f t="shared" si="2"/>
        <v>-5.679088067</v>
      </c>
      <c r="T30" s="11">
        <f t="shared" si="3"/>
        <v>-0.0006809</v>
      </c>
      <c r="U30" s="12">
        <f t="shared" si="4"/>
        <v>-80.47787464</v>
      </c>
      <c r="V30" s="13">
        <f t="shared" si="5"/>
        <v>80.67800411</v>
      </c>
      <c r="W30" s="13">
        <f t="shared" si="6"/>
        <v>-72.67800411</v>
      </c>
    </row>
    <row r="31" ht="22.5" customHeight="1">
      <c r="A31" s="7">
        <v>45721.68388351852</v>
      </c>
      <c r="B31" s="8" t="s">
        <v>144</v>
      </c>
      <c r="C31" s="8" t="s">
        <v>35</v>
      </c>
      <c r="D31" s="8">
        <v>2.0</v>
      </c>
      <c r="E31" s="8" t="s">
        <v>145</v>
      </c>
      <c r="F31" s="8" t="s">
        <v>146</v>
      </c>
      <c r="G31" s="8">
        <v>42.3736682</v>
      </c>
      <c r="H31" s="8">
        <v>-71.11726377</v>
      </c>
      <c r="I31" s="8">
        <v>25.0</v>
      </c>
      <c r="J31" s="8" t="s">
        <v>27</v>
      </c>
      <c r="K31" s="9" t="s">
        <v>147</v>
      </c>
      <c r="P31" s="10">
        <v>42.37411895</v>
      </c>
      <c r="Q31" s="10">
        <v>-71.1176378</v>
      </c>
      <c r="R31" s="11">
        <f t="shared" si="1"/>
        <v>-0.00045075</v>
      </c>
      <c r="S31" s="12">
        <f t="shared" si="2"/>
        <v>-164.620511</v>
      </c>
      <c r="T31" s="11">
        <f t="shared" si="3"/>
        <v>0.00037403</v>
      </c>
      <c r="U31" s="12">
        <f t="shared" si="4"/>
        <v>44.20787113</v>
      </c>
      <c r="V31" s="13">
        <f t="shared" si="5"/>
        <v>170.4530684</v>
      </c>
      <c r="W31" s="13">
        <f t="shared" si="6"/>
        <v>-145.4530684</v>
      </c>
    </row>
    <row r="32" ht="22.5" customHeight="1">
      <c r="A32" s="7">
        <v>45721.68395153935</v>
      </c>
      <c r="B32" s="8" t="s">
        <v>148</v>
      </c>
      <c r="C32" s="8" t="s">
        <v>63</v>
      </c>
      <c r="D32" s="8">
        <v>2.0</v>
      </c>
      <c r="E32" s="8" t="s">
        <v>149</v>
      </c>
      <c r="F32" s="8" t="s">
        <v>150</v>
      </c>
      <c r="G32" s="8">
        <v>42.37424</v>
      </c>
      <c r="H32" s="8">
        <v>-71.117466</v>
      </c>
      <c r="I32" s="8">
        <v>10.0</v>
      </c>
      <c r="J32" s="8" t="s">
        <v>27</v>
      </c>
      <c r="K32" s="9" t="s">
        <v>151</v>
      </c>
      <c r="P32" s="10">
        <v>42.37411895</v>
      </c>
      <c r="Q32" s="10">
        <v>-71.1176378</v>
      </c>
      <c r="R32" s="11">
        <f t="shared" si="1"/>
        <v>0.00012105</v>
      </c>
      <c r="S32" s="12">
        <f t="shared" si="2"/>
        <v>44.2092354</v>
      </c>
      <c r="T32" s="11">
        <f t="shared" si="3"/>
        <v>0.0001718</v>
      </c>
      <c r="U32" s="12">
        <f t="shared" si="4"/>
        <v>20.30562324</v>
      </c>
      <c r="V32" s="13">
        <f t="shared" si="5"/>
        <v>48.64951007</v>
      </c>
      <c r="W32" s="13">
        <f t="shared" si="6"/>
        <v>-38.64951007</v>
      </c>
    </row>
    <row r="33" ht="22.5" customHeight="1">
      <c r="A33" s="7">
        <v>45721.684209618055</v>
      </c>
      <c r="B33" s="8" t="s">
        <v>152</v>
      </c>
      <c r="C33" s="8" t="s">
        <v>63</v>
      </c>
      <c r="D33" s="8">
        <v>2.0</v>
      </c>
      <c r="E33" s="8" t="s">
        <v>153</v>
      </c>
      <c r="F33" s="8" t="s">
        <v>154</v>
      </c>
      <c r="G33" s="8">
        <v>42.374263</v>
      </c>
      <c r="H33" s="8">
        <v>-71.117303</v>
      </c>
      <c r="I33" s="8">
        <v>20.0</v>
      </c>
      <c r="J33" s="8" t="s">
        <v>27</v>
      </c>
      <c r="K33" s="9" t="s">
        <v>155</v>
      </c>
      <c r="P33" s="10">
        <v>42.37411895</v>
      </c>
      <c r="Q33" s="10">
        <v>-71.1176378</v>
      </c>
      <c r="R33" s="11">
        <f t="shared" si="1"/>
        <v>0.00014405</v>
      </c>
      <c r="S33" s="12">
        <f t="shared" si="2"/>
        <v>52.60917273</v>
      </c>
      <c r="T33" s="11">
        <f t="shared" si="3"/>
        <v>0.0003348</v>
      </c>
      <c r="U33" s="12">
        <f t="shared" si="4"/>
        <v>39.5711447</v>
      </c>
      <c r="V33" s="13">
        <f t="shared" si="5"/>
        <v>65.83008847</v>
      </c>
      <c r="W33" s="13">
        <f t="shared" si="6"/>
        <v>-45.83008847</v>
      </c>
    </row>
    <row r="34" ht="22.5" customHeight="1">
      <c r="A34" s="7">
        <v>45721.68460850694</v>
      </c>
      <c r="B34" s="8" t="s">
        <v>156</v>
      </c>
      <c r="C34" s="8" t="s">
        <v>40</v>
      </c>
      <c r="D34" s="8">
        <v>1.0</v>
      </c>
      <c r="E34" s="8" t="s">
        <v>157</v>
      </c>
      <c r="F34" s="8" t="s">
        <v>158</v>
      </c>
      <c r="G34" s="8">
        <v>42.37378</v>
      </c>
      <c r="H34" s="8">
        <v>-71.11744</v>
      </c>
      <c r="I34" s="8">
        <v>20.0</v>
      </c>
      <c r="J34" s="8" t="s">
        <v>60</v>
      </c>
      <c r="K34" s="9" t="s">
        <v>159</v>
      </c>
      <c r="L34" s="8">
        <v>42.37548</v>
      </c>
      <c r="M34" s="8">
        <v>-71.11758</v>
      </c>
      <c r="N34" s="8">
        <v>42.3745</v>
      </c>
      <c r="O34" s="8">
        <v>-71.1173</v>
      </c>
      <c r="P34" s="10">
        <v>42.37411895</v>
      </c>
      <c r="Q34" s="10">
        <v>-71.1176378</v>
      </c>
      <c r="R34" s="11">
        <f t="shared" si="1"/>
        <v>-0.00033895</v>
      </c>
      <c r="S34" s="12">
        <f t="shared" si="2"/>
        <v>-123.7895113</v>
      </c>
      <c r="T34" s="11">
        <f t="shared" si="3"/>
        <v>0.0001978</v>
      </c>
      <c r="U34" s="12">
        <f t="shared" si="4"/>
        <v>23.3786512</v>
      </c>
      <c r="V34" s="13">
        <f t="shared" si="5"/>
        <v>125.9777934</v>
      </c>
      <c r="W34" s="13">
        <f t="shared" si="6"/>
        <v>-105.9777934</v>
      </c>
    </row>
    <row r="35" ht="22.5" customHeight="1">
      <c r="A35" s="7">
        <v>45721.684723784725</v>
      </c>
      <c r="B35" s="8" t="s">
        <v>160</v>
      </c>
      <c r="C35" s="8" t="s">
        <v>24</v>
      </c>
      <c r="D35" s="8">
        <v>2.0</v>
      </c>
      <c r="E35" s="8" t="s">
        <v>161</v>
      </c>
      <c r="F35" s="8" t="s">
        <v>162</v>
      </c>
      <c r="G35" s="8">
        <v>42.3737703</v>
      </c>
      <c r="H35" s="8">
        <v>-71.1181883</v>
      </c>
      <c r="I35" s="8">
        <v>25.0</v>
      </c>
      <c r="J35" s="8" t="s">
        <v>27</v>
      </c>
      <c r="K35" s="9" t="s">
        <v>163</v>
      </c>
      <c r="P35" s="10">
        <v>42.37411895</v>
      </c>
      <c r="Q35" s="10">
        <v>-71.1176378</v>
      </c>
      <c r="R35" s="11">
        <f t="shared" si="1"/>
        <v>-0.00034865</v>
      </c>
      <c r="S35" s="12">
        <f t="shared" si="2"/>
        <v>-127.3320935</v>
      </c>
      <c r="T35" s="11">
        <f t="shared" si="3"/>
        <v>-0.0005505</v>
      </c>
      <c r="U35" s="12">
        <f t="shared" si="4"/>
        <v>-65.06545746</v>
      </c>
      <c r="V35" s="13">
        <f t="shared" si="5"/>
        <v>142.9929222</v>
      </c>
      <c r="W35" s="13">
        <f t="shared" si="6"/>
        <v>-117.9929222</v>
      </c>
    </row>
    <row r="36" ht="22.5" customHeight="1">
      <c r="A36" s="7">
        <v>45721.684733368056</v>
      </c>
      <c r="B36" s="8" t="s">
        <v>164</v>
      </c>
      <c r="C36" s="8" t="s">
        <v>35</v>
      </c>
      <c r="D36" s="8">
        <v>2.0</v>
      </c>
      <c r="E36" s="8" t="s">
        <v>165</v>
      </c>
      <c r="F36" s="8" t="s">
        <v>166</v>
      </c>
      <c r="G36" s="8">
        <v>42.3739794</v>
      </c>
      <c r="H36" s="8">
        <v>-71.1175236</v>
      </c>
      <c r="I36" s="8">
        <v>30.0</v>
      </c>
      <c r="J36" s="8" t="s">
        <v>32</v>
      </c>
      <c r="K36" s="9" t="s">
        <v>167</v>
      </c>
      <c r="P36" s="10">
        <v>42.37411895</v>
      </c>
      <c r="Q36" s="10">
        <v>-71.1176378</v>
      </c>
      <c r="R36" s="11">
        <f t="shared" si="1"/>
        <v>-0.00013955</v>
      </c>
      <c r="S36" s="12">
        <f t="shared" si="2"/>
        <v>-50.96570673</v>
      </c>
      <c r="T36" s="11">
        <f t="shared" si="3"/>
        <v>0.0001142</v>
      </c>
      <c r="U36" s="12">
        <f t="shared" si="4"/>
        <v>13.49768436</v>
      </c>
      <c r="V36" s="13">
        <f t="shared" si="5"/>
        <v>52.72277256</v>
      </c>
      <c r="W36" s="13">
        <f t="shared" si="6"/>
        <v>-22.72277256</v>
      </c>
    </row>
    <row r="37" ht="22.5" customHeight="1">
      <c r="A37" s="7">
        <v>45721.68558384259</v>
      </c>
      <c r="B37" s="8" t="s">
        <v>168</v>
      </c>
      <c r="C37" s="8" t="s">
        <v>35</v>
      </c>
      <c r="D37" s="8">
        <v>2.0</v>
      </c>
      <c r="E37" s="8" t="s">
        <v>169</v>
      </c>
      <c r="F37" s="8" t="s">
        <v>170</v>
      </c>
      <c r="G37" s="8">
        <v>42.373928</v>
      </c>
      <c r="H37" s="8">
        <v>-71.1173696</v>
      </c>
      <c r="I37" s="8">
        <v>30.0</v>
      </c>
      <c r="J37" s="8" t="s">
        <v>27</v>
      </c>
      <c r="K37" s="9" t="s">
        <v>171</v>
      </c>
      <c r="P37" s="10">
        <v>42.37411895</v>
      </c>
      <c r="Q37" s="10">
        <v>-71.1176378</v>
      </c>
      <c r="R37" s="11">
        <f t="shared" si="1"/>
        <v>-0.00019095</v>
      </c>
      <c r="S37" s="12">
        <f t="shared" si="2"/>
        <v>-69.7377406</v>
      </c>
      <c r="T37" s="11">
        <f t="shared" si="3"/>
        <v>0.0002682</v>
      </c>
      <c r="U37" s="12">
        <f t="shared" si="4"/>
        <v>31.69946538</v>
      </c>
      <c r="V37" s="13">
        <f t="shared" si="5"/>
        <v>76.60423337</v>
      </c>
      <c r="W37" s="13">
        <f t="shared" si="6"/>
        <v>-46.60423337</v>
      </c>
    </row>
    <row r="38" ht="22.5" customHeight="1">
      <c r="A38" s="7">
        <v>45721.6856003588</v>
      </c>
      <c r="B38" s="8" t="s">
        <v>172</v>
      </c>
      <c r="C38" s="8" t="s">
        <v>63</v>
      </c>
      <c r="D38" s="8">
        <v>2.0</v>
      </c>
      <c r="E38" s="8" t="s">
        <v>173</v>
      </c>
      <c r="F38" s="8" t="s">
        <v>174</v>
      </c>
      <c r="G38" s="8">
        <v>42.3743353</v>
      </c>
      <c r="H38" s="8">
        <v>-71.1173691</v>
      </c>
      <c r="I38" s="8">
        <v>200.0</v>
      </c>
      <c r="J38" s="8" t="s">
        <v>27</v>
      </c>
      <c r="K38" s="9" t="s">
        <v>175</v>
      </c>
      <c r="P38" s="10">
        <v>42.37411895</v>
      </c>
      <c r="Q38" s="10">
        <v>-71.1176378</v>
      </c>
      <c r="R38" s="11">
        <f t="shared" si="1"/>
        <v>0.00021635</v>
      </c>
      <c r="S38" s="12">
        <f t="shared" si="2"/>
        <v>79.01419313</v>
      </c>
      <c r="T38" s="11">
        <f t="shared" si="3"/>
        <v>0.0002687</v>
      </c>
      <c r="U38" s="12">
        <f t="shared" si="4"/>
        <v>31.75856207</v>
      </c>
      <c r="V38" s="13">
        <f t="shared" si="5"/>
        <v>85.15778873</v>
      </c>
      <c r="W38" s="13">
        <f t="shared" si="6"/>
        <v>114.8422113</v>
      </c>
    </row>
    <row r="39" ht="22.5" customHeight="1">
      <c r="A39" s="7">
        <v>45721.68694505787</v>
      </c>
      <c r="B39" s="8" t="s">
        <v>176</v>
      </c>
      <c r="C39" s="8" t="s">
        <v>35</v>
      </c>
      <c r="D39" s="8">
        <v>2.0</v>
      </c>
      <c r="E39" s="8" t="s">
        <v>177</v>
      </c>
      <c r="F39" s="8" t="s">
        <v>178</v>
      </c>
      <c r="G39" s="8">
        <v>42.3739793</v>
      </c>
      <c r="H39" s="8">
        <v>-71.1175235</v>
      </c>
      <c r="I39" s="8">
        <v>32.0</v>
      </c>
      <c r="J39" s="8" t="s">
        <v>60</v>
      </c>
      <c r="K39" s="9" t="s">
        <v>179</v>
      </c>
      <c r="L39" s="8">
        <v>42.3753976</v>
      </c>
      <c r="M39" s="8">
        <v>-71.1174759</v>
      </c>
      <c r="N39" s="8">
        <v>42.3746721</v>
      </c>
      <c r="O39" s="8">
        <v>-71.1179285</v>
      </c>
      <c r="P39" s="10">
        <v>42.37411895</v>
      </c>
      <c r="Q39" s="10">
        <v>-71.1176378</v>
      </c>
      <c r="R39" s="11">
        <f t="shared" si="1"/>
        <v>-0.00013965</v>
      </c>
      <c r="S39" s="12">
        <f t="shared" si="2"/>
        <v>-51.0022282</v>
      </c>
      <c r="T39" s="11">
        <f t="shared" si="3"/>
        <v>0.0001143</v>
      </c>
      <c r="U39" s="12">
        <f t="shared" si="4"/>
        <v>13.5095037</v>
      </c>
      <c r="V39" s="13">
        <f t="shared" si="5"/>
        <v>52.76110283</v>
      </c>
      <c r="W39" s="13">
        <f t="shared" si="6"/>
        <v>-20.76110283</v>
      </c>
    </row>
    <row r="40" ht="22.5" customHeight="1">
      <c r="A40" s="7">
        <v>45721.6869669213</v>
      </c>
      <c r="B40" s="8" t="s">
        <v>180</v>
      </c>
      <c r="C40" s="8" t="s">
        <v>53</v>
      </c>
      <c r="D40" s="8">
        <v>1.0</v>
      </c>
      <c r="E40" s="8" t="s">
        <v>181</v>
      </c>
      <c r="F40" s="8" t="s">
        <v>182</v>
      </c>
      <c r="G40" s="8">
        <v>42.37443</v>
      </c>
      <c r="H40" s="8">
        <v>-71.11686</v>
      </c>
      <c r="I40" s="8">
        <v>120.0</v>
      </c>
      <c r="J40" s="8" t="s">
        <v>32</v>
      </c>
      <c r="K40" s="9" t="s">
        <v>183</v>
      </c>
      <c r="P40" s="10">
        <v>42.37411895</v>
      </c>
      <c r="Q40" s="10">
        <v>-71.1176378</v>
      </c>
      <c r="R40" s="11">
        <f t="shared" si="1"/>
        <v>0.00031105</v>
      </c>
      <c r="S40" s="12">
        <f t="shared" si="2"/>
        <v>113.6000221</v>
      </c>
      <c r="T40" s="11">
        <f t="shared" si="3"/>
        <v>0.0007778</v>
      </c>
      <c r="U40" s="12">
        <f t="shared" si="4"/>
        <v>91.93081347</v>
      </c>
      <c r="V40" s="13">
        <f t="shared" si="5"/>
        <v>146.1377415</v>
      </c>
      <c r="W40" s="13">
        <f t="shared" si="6"/>
        <v>-26.13774146</v>
      </c>
    </row>
    <row r="41" ht="22.5" customHeight="1">
      <c r="A41" s="7">
        <v>45721.68805484954</v>
      </c>
      <c r="B41" s="8" t="s">
        <v>184</v>
      </c>
      <c r="C41" s="8" t="s">
        <v>35</v>
      </c>
      <c r="D41" s="8">
        <v>2.0</v>
      </c>
      <c r="E41" s="8" t="s">
        <v>185</v>
      </c>
      <c r="F41" s="8" t="s">
        <v>186</v>
      </c>
      <c r="G41" s="8">
        <v>42.3734691</v>
      </c>
      <c r="H41" s="8">
        <v>-71.117273</v>
      </c>
      <c r="I41" s="8">
        <v>50.0</v>
      </c>
      <c r="J41" s="8" t="s">
        <v>27</v>
      </c>
      <c r="K41" s="9" t="s">
        <v>187</v>
      </c>
      <c r="W41" s="13">
        <f t="shared" si="6"/>
        <v>50</v>
      </c>
    </row>
    <row r="42">
      <c r="P42" s="10"/>
      <c r="Q42" s="10"/>
      <c r="V42" s="13"/>
      <c r="W42" s="13"/>
    </row>
    <row r="43">
      <c r="P43" s="10"/>
      <c r="Q43" s="10"/>
      <c r="V43" s="13"/>
      <c r="W43" s="13"/>
    </row>
    <row r="44">
      <c r="P44" s="10"/>
      <c r="Q44" s="10"/>
      <c r="V44" s="13"/>
      <c r="W44" s="13"/>
    </row>
    <row r="45">
      <c r="P45" s="10"/>
      <c r="Q45" s="10"/>
      <c r="V45" s="13"/>
      <c r="W45" s="13"/>
    </row>
    <row r="46">
      <c r="P46" s="10"/>
      <c r="Q46" s="10"/>
      <c r="V46" s="13"/>
      <c r="W46" s="13"/>
    </row>
    <row r="47">
      <c r="P47" s="10"/>
      <c r="Q47" s="10"/>
      <c r="V47" s="13"/>
      <c r="W47" s="13"/>
    </row>
    <row r="48">
      <c r="G48" s="6"/>
      <c r="P48" s="10"/>
      <c r="Q48" s="10"/>
      <c r="V48" s="13"/>
      <c r="W48" s="13"/>
    </row>
    <row r="49">
      <c r="P49" s="10"/>
      <c r="Q49" s="10"/>
      <c r="V49" s="13"/>
      <c r="W49" s="13"/>
    </row>
    <row r="50">
      <c r="H50" s="6"/>
      <c r="P50" s="10"/>
      <c r="Q50" s="10"/>
      <c r="V50" s="13"/>
      <c r="W50" s="13"/>
    </row>
    <row r="51">
      <c r="P51" s="10"/>
      <c r="Q51" s="10"/>
      <c r="V51" s="13"/>
      <c r="W51" s="13"/>
    </row>
    <row r="52">
      <c r="P52" s="10"/>
      <c r="Q52" s="10"/>
      <c r="V52" s="13"/>
      <c r="W52" s="13"/>
    </row>
    <row r="53">
      <c r="P53" s="10"/>
      <c r="Q53" s="10"/>
      <c r="V53" s="13"/>
      <c r="W53" s="13"/>
    </row>
    <row r="54">
      <c r="P54" s="10"/>
      <c r="Q54" s="10"/>
      <c r="V54" s="13"/>
      <c r="W54" s="13"/>
    </row>
    <row r="55">
      <c r="P55" s="10"/>
      <c r="Q55" s="10"/>
      <c r="V55" s="13"/>
      <c r="W55" s="13"/>
    </row>
    <row r="56">
      <c r="P56" s="10"/>
      <c r="Q56" s="10"/>
      <c r="V56" s="13"/>
      <c r="W56" s="13"/>
    </row>
    <row r="57">
      <c r="P57" s="10"/>
      <c r="Q57" s="10"/>
      <c r="V57" s="13"/>
      <c r="W57" s="13"/>
    </row>
    <row r="58">
      <c r="P58" s="10"/>
      <c r="Q58" s="10"/>
      <c r="V58" s="13"/>
      <c r="W58" s="13"/>
    </row>
    <row r="59">
      <c r="P59" s="10"/>
      <c r="Q59" s="10"/>
      <c r="V59" s="13"/>
      <c r="W59" s="13"/>
    </row>
    <row r="60">
      <c r="P60" s="10"/>
      <c r="Q60" s="10"/>
      <c r="V60" s="13"/>
      <c r="W60" s="13"/>
    </row>
    <row r="61">
      <c r="P61" s="10"/>
      <c r="Q61" s="10"/>
      <c r="V61" s="13"/>
      <c r="W61" s="13"/>
    </row>
    <row r="62">
      <c r="P62" s="10"/>
      <c r="Q62" s="10"/>
      <c r="V62" s="13"/>
      <c r="W62" s="13"/>
    </row>
    <row r="63">
      <c r="P63" s="10"/>
      <c r="Q63" s="10"/>
      <c r="V63" s="13"/>
      <c r="W63" s="13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</hyperlinks>
  <drawing r:id="rId41"/>
  <tableParts count="1">
    <tablePart r:id="rId43"/>
  </tableParts>
</worksheet>
</file>